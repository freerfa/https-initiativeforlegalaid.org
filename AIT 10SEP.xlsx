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emirghani/Downloads/"/>
    </mc:Choice>
  </mc:AlternateContent>
  <xr:revisionPtr revIDLastSave="0" documentId="8_{6247CD75-7C67-3D4F-A71C-962C924807A7}" xr6:coauthVersionLast="47" xr6:coauthVersionMax="47" xr10:uidLastSave="{00000000-0000-0000-0000-000000000000}"/>
  <bookViews>
    <workbookView xWindow="20780" yWindow="5980" windowWidth="27640" windowHeight="16680" xr2:uid="{20206993-6FB3-CA43-A99B-30522E7CB2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2" i="1" l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<sst xmlns="http://schemas.openxmlformats.org/spreadsheetml/2006/main" count="801" uniqueCount="166">
  <si>
    <t>Indicator</t>
  </si>
  <si>
    <t>sector</t>
  </si>
  <si>
    <t>Unit of values</t>
  </si>
  <si>
    <t>Targeted Women</t>
  </si>
  <si>
    <t>Targeted Men</t>
  </si>
  <si>
    <t>Targeted Girls</t>
  </si>
  <si>
    <t>Targeted Boys</t>
  </si>
  <si>
    <t>Targeted Total</t>
  </si>
  <si>
    <t>Reached Women</t>
  </si>
  <si>
    <t>Reached Men</t>
  </si>
  <si>
    <t>Reached Girls</t>
  </si>
  <si>
    <t>Reached Boys</t>
  </si>
  <si>
    <t>Reached Total</t>
  </si>
  <si>
    <r>
      <t>% of target reached</t>
    </r>
    <r>
      <rPr>
        <sz val="9"/>
        <color rgb="FF000000"/>
        <rFont val="Aptos Narrow"/>
      </rPr>
      <t> </t>
    </r>
  </si>
  <si>
    <t>(Global)  (HEA/C-CA8/H.1a)  Number of emergency health kits delivered to healthcare facilities</t>
  </si>
  <si>
    <t>Health</t>
  </si>
  <si>
    <t>Health Kits</t>
  </si>
  <si>
    <t>N/A</t>
  </si>
  <si>
    <t>(Global)  (HEA/C-CA7/H.7)  Number of functional health facilities supported</t>
  </si>
  <si>
    <t>Health Facilities</t>
  </si>
  <si>
    <t>(Global)  (NUT/C-CA5/N.3a)  Number of people admitted to SAM treatment programme (therapeutic feeding)</t>
  </si>
  <si>
    <t>Nutrition</t>
  </si>
  <si>
    <t>Individuals</t>
  </si>
  <si>
    <t>(Global)  (PRO/C-CA16/PP.e)  Number of people affected benefiting from emergency cash assistance or direct service payments</t>
  </si>
  <si>
    <t>Protection</t>
  </si>
  <si>
    <t>(Global)  (PRO/C-CA11/PS.1a)  Number of people accessing women- and girl-friendly safe spaces and/or centres</t>
  </si>
  <si>
    <t>(Global)  (PRO/C-CA13/PP.1b)  Number of people accessing protection referral mechanisms and/or pathways</t>
  </si>
  <si>
    <t>(Global)  (PRO/C-CA11/PS.2)  Number of people receiving violence psycho-social support and/or violence case management (for medical support, use SP.5)</t>
  </si>
  <si>
    <t>(Global)  (SHL/C-CA1/AS.1)  Number of individuals who received life-saving assistance through the distribution of items from emergency stockpiles.</t>
  </si>
  <si>
    <t>Emergency Shelter and NFI</t>
  </si>
  <si>
    <t>(Global)  (PRO/C-CA12/PP.a)  Number of individuals whose protection risks were reduced through targeted risk-mitigation interventions (e.g., safety messages, movement guidance, hotlines).</t>
  </si>
  <si>
    <t>(Global)  (PRO/C-CA3/AS.9)  Number of community-based complaints\feedback mechanisms established</t>
  </si>
  <si>
    <t>CFM</t>
  </si>
  <si>
    <t>(Global)  (PRO/C-CA9/CP.4)  Number of people accessing protection activities and/or services through child-friendly spaces</t>
  </si>
  <si>
    <t>(Global)  (WSH/C-CA1/AS.1)  Number of individuals who received life-saving assistance through the distribution of items from emergency stockpiles.</t>
  </si>
  <si>
    <t>Water, Sanitation and Hygiene</t>
  </si>
  <si>
    <t>(Global)  (PRO/C-CA9/CP.5)  Number of child-friendly spaces established and/or rehabilitated</t>
  </si>
  <si>
    <t>Child friendly space</t>
  </si>
  <si>
    <t>(Global)  (PRO/C-CA2/AS.2)  Number of implementing partner staff receiving training to support programme implementation</t>
  </si>
  <si>
    <t>(Global)  (PRO/C-CA9/CP.3)  Number of children receiving protection support (e.g. family tracing, reunification, reintegration, case management services, etc)</t>
  </si>
  <si>
    <t>(Global)  (PRO/C-CA1/AS.1)  Number of individuals who received life-saving assistance through the distribution of items from emergency stockpiles.</t>
  </si>
  <si>
    <t>(Global)  (SHL/C-CA3/SN.2a)  Number of people receiving in-kind NFI assistance</t>
  </si>
  <si>
    <t>(Global)  (SHL/C-CA1/SN.1a)  Number of people receiving in-kind shelter assistance</t>
  </si>
  <si>
    <t>(Global)  (NUT/C-CA6/N.1)  Number of people receiving supplementary feeding (MAM prevention)</t>
  </si>
  <si>
    <t>(Global)  (NUT/C-CA5/N.2a)  Number of people admitted in MAM treatment programme</t>
  </si>
  <si>
    <t>(Global)  (HEA/C-CA1/H.8)  Number of primary healthcare consultations provided</t>
  </si>
  <si>
    <t>Consultations</t>
  </si>
  <si>
    <t>(Global)  (PRO/C-CA11/PS.1b)  Number of women- and girl-friendly safe spaces and/or centres constructed, rehabilitated and/or supported</t>
  </si>
  <si>
    <t>Woman/Girl friendly space</t>
  </si>
  <si>
    <t>(Global)  (HEA/C-CA1/H.7)  Number of functional health facilities supported</t>
  </si>
  <si>
    <t>(Global)  (HEA/C-CA5/H.X1)  Number of people vaccinated - Measles containing  vaccine</t>
  </si>
  <si>
    <t>(Global)  (HEA/C-CA10/RH.1)  Number of births attended by skilled health personnel</t>
  </si>
  <si>
    <t>Births</t>
  </si>
  <si>
    <t>(Global)  (HEA/C-CA1/AS.1)  Number of individuals who received life-saving assistance through the distribution of items from emergency stockpiles.</t>
  </si>
  <si>
    <t>(Global)  (HEA/C-CA13/H.9)  Number of people provided with mental health and/or psycho-social support services</t>
  </si>
  <si>
    <t>(Global)  (HEA/C-CA2/AS.2)  Number of implementing partner staff receiving training to support programme implementation</t>
  </si>
  <si>
    <t>(Global)  (HEA/C-CA3/AS.9)  Number of community-based complaints\feedback mechanisms established</t>
  </si>
  <si>
    <t>(Global)  (HEA/C-CA11/SP.5)  Number of violence survivors receiving medical assistance, including clinical management of rape</t>
  </si>
  <si>
    <t>(Global)  (HEA/C-CA9/H.g)  Number of people vaccinated - DTP 3 (i.e. third dose only)</t>
  </si>
  <si>
    <t>People</t>
  </si>
  <si>
    <t>(Global)  (HEA/C-CA9/H.13)  Number of people benefitting from vector-borne disease control activities (incl. malaria)</t>
  </si>
  <si>
    <t>(Global)  (HEA/C-CA9/H.12)  Number of people benefitting from waterborne disease control activities (incl. acute watery diarrhea and cholera)</t>
  </si>
  <si>
    <t>(Global)  (HEA/C-CA4/H.b)  Number of individuals screened for epidemic-prone diseases</t>
  </si>
  <si>
    <t>(Global)  (NUT/C-CA3/AS.8)  Percentage of issues identified in feedback processes for which solutions are in process or closed</t>
  </si>
  <si>
    <t>percentage</t>
  </si>
  <si>
    <t>(Global)  (NUT/C-CA4/N.6)  Number of people benefitting training and/or community awareness sessions on infant and young child feeding in emergencies</t>
  </si>
  <si>
    <t>(Global)  (FSC/C-CA3/FN.1a)  Number of people receiving in-kind food assistance</t>
  </si>
  <si>
    <t>Food Security</t>
  </si>
  <si>
    <t>(Global)  (FSC/C-CA3/FN.a)  Number of people receiving recurrent cash transfers or vouchers</t>
  </si>
  <si>
    <t>(Global)  (NUT/C-CA7/N.5)  Number of people receiving vitamins and/or micronutrient supplements</t>
  </si>
  <si>
    <t>(Global)  (CCM/C-CA1/CM.8)  Number of people in displacement sites with physical site improvements</t>
  </si>
  <si>
    <t>(Global)  (NUT/C-CA2/AS.2)  Number of implementing partner staff receiving training to support programme implementation</t>
  </si>
  <si>
    <t>(Global)  (HEA/C-CA4/H.c)  Number of frontline health workers trained on outbreak detection and response</t>
  </si>
  <si>
    <t>(Global)  (NUT/C-CA3/AS.9)  Number of community-based complaints\feedback mechanisms established</t>
  </si>
  <si>
    <t>(Global)  (NUT/C-CA3/N.4)  Number of people screened for acute malnutrition</t>
  </si>
  <si>
    <t>(Global)  (HEA/C-CA2/H.10)  Number of people referred to higher level and/or specialized health services</t>
  </si>
  <si>
    <t>(Global)  (HEA/C-CA3/H.a)  Number of frontline or community health workers trained/oriented on emergency surveillance or reporting</t>
  </si>
  <si>
    <t>(Global)  (HEA/C-CA9/H.f)  Number of people vaccinated - Measles containing  vaccine</t>
  </si>
  <si>
    <t>(Global)  (HEA/C-CA3/AS.7)  Percentage of affected people who state that they were able to access humanitarian assistance and services in a safe, accessible, accountable and participatory manner</t>
  </si>
  <si>
    <t>(Global)  (FSC/C-CA3/AS.4)  Percentage of affected people who state that they are aware of feedback and complaints mechanisms established for their use</t>
  </si>
  <si>
    <t>(Global)  (FSC/C-CA3/FN.1b)  Quantity of food assistance distributed in MT</t>
  </si>
  <si>
    <t>MT</t>
  </si>
  <si>
    <t>(Global)  (WSH/C-CA6/WS.6)  Number of people accessing sufficient and safe water for drinking, cooking and/or personal hygiene use as per agreed sector standard</t>
  </si>
  <si>
    <t>(Global)  (CCM/C-CA1/CM.3)  Number of displacement sites with physical site improvements</t>
  </si>
  <si>
    <t>Camp Coordination / Management</t>
  </si>
  <si>
    <t>Sites</t>
  </si>
  <si>
    <t>(Global)  (CCM/C-CA6/AS.11)  Number of people receiving recurrent in-kind assistance</t>
  </si>
  <si>
    <t>(Global)  (CCM/C-CA1/AS.1)  Number of individuals who received life-saving assistance through the distribution of items from emergency stockpiles.</t>
  </si>
  <si>
    <t>(Global)  (HEA/C-CA5/H.e)  Number of people vaccinated - DTP 3 (i.e. third dose only)</t>
  </si>
  <si>
    <t>(Global)  (HEA/C-CA12/H.d)  Number of individuals with life-threatening chronic conditions receiving emergency medication or treatment</t>
  </si>
  <si>
    <t>(Global)  (PRO/C-CA6/AS.11)  Number of people receiving recurrent in-kind assistance</t>
  </si>
  <si>
    <t>(Global)  (PRO/C-CA5/AS.10)  Number of people receiving recurrent services</t>
  </si>
  <si>
    <t>(Global)  (PRO/C-CA15/PP.c)  Number of individuals whose protection concerns were identified through human rights or protection monitoring.</t>
  </si>
  <si>
    <t>(Global)  (PRO/C-CA3/AS.8)  Percentage of issues identified in feedback processes for which solutions are in process or closed</t>
  </si>
  <si>
    <t>(Global)  (PRO/C-CA3/AS.7)  Percentage of affected people who state that they were able to access humanitarian assistance and services in a safe, accessible, accountable and participatory manner</t>
  </si>
  <si>
    <t>(Global)  (WSH/C-CA7/WS.13 )  Number of communal sanitation facilities (e.g. latrines) and/or communal bathing facilities constructed or rehabilitated</t>
  </si>
  <si>
    <t>Facilities</t>
  </si>
  <si>
    <t>(Global)  (WSH/C-CA7/WS.14)  Number of household sanitation facilities (e.g. latrines) and/or household bathing facilities constructed or rehabilitated</t>
  </si>
  <si>
    <t>(Global)  (WSH/C-CA3/AS.7)  Percentage of affected people who state that they were able to access humanitarian assistance and services in a safe, accessible, accountable and participatory manner</t>
  </si>
  <si>
    <t>(Global)  (WSH/C-CA3/AS.6)  Percentage of affected people who state that the assistance, services and/or protection provided correspond with their needs</t>
  </si>
  <si>
    <t>(Global)  (WSH/C-CA7/WS.16a)  Number of people receiving critical WASH supplies (e.g., WASH/hygiene kits, including menstrual hygiene items)</t>
  </si>
  <si>
    <t>(Global)  (WSH/C-CA8/WS.17)  Number of people receiving WASH/hygiene messaging</t>
  </si>
  <si>
    <t>(Global)  (WSH/C-CA7/WS.16b)  Number of WASH/hygiene kits distributed</t>
  </si>
  <si>
    <t>Kits</t>
  </si>
  <si>
    <t>(Global)  (WSH/C-CA3/AS.4)  Percentage of affected people who state that they are aware of feedback and complaints mechanisms established for their use</t>
  </si>
  <si>
    <t>(Global)  (SHL/C-CA2/SN.3)  Number of shelters and common shelter structures constructed or rehabilitated</t>
  </si>
  <si>
    <t>Shelter structure</t>
  </si>
  <si>
    <t>(Global)  (PRO/C-CA13/PP.1a)  Number of protection referral mechanisms and/or pathways established</t>
  </si>
  <si>
    <t>Mechanisms</t>
  </si>
  <si>
    <t>(Global)  (CCM/C-CA3/CM.b)  Number of individuals supported to safely relocate or voluntarily return</t>
  </si>
  <si>
    <t>(Global)  (SHL/C-CA3/AS.9)  Number of community-based complaints\feedback mechanisms established</t>
  </si>
  <si>
    <t>(Global)  (SHL/C-CA3/AS.8)  Percentage of issues identified in feedback processes for which solutions are in process or closed</t>
  </si>
  <si>
    <t>(Global)  (SHL/C-CA3/AS.7)  Percentage of affected people who state that they were able to access humanitarian assistance and services in a safe, accessible, accountable and participatory manner</t>
  </si>
  <si>
    <t>(Global)  (SHL/C-CA3/AS.6)  Percentage of affected people who state that the assistance, services and/or protection provided correspond with their needs</t>
  </si>
  <si>
    <t>(Global)  (SHL/C-CA3/AS.4)  Percentage of affected people who state that they are aware of feedback and complaints mechanisms established for their use</t>
  </si>
  <si>
    <t>(Global)  (WSH/C-CA3/AS.9)  Number of community-based complaints\feedback mechanisms established</t>
  </si>
  <si>
    <t>(Global)  (PRO/C-CA8/PG.1)  Number of human rights and/or protection monitoring missions, analyses and/or reports that inform the humanitarian response</t>
  </si>
  <si>
    <t>Missions</t>
  </si>
  <si>
    <t>(Global)  (CCM/C-CA2/CM.a)  Number of displacement sites with population registration activities</t>
  </si>
  <si>
    <t>(Global)  (CCM/C-CA4/CM.2)  Number of displacement sites with inclusive and representative (incl. gender-responsive) governance structures</t>
  </si>
  <si>
    <t>(Global)  (SHL/C-CA3/AS.5)  Percentage of affected people who state that they were consulted on the humanitarian response</t>
  </si>
  <si>
    <t>(Global)  (SHL/C-CA3/AS.3)  Percentage of affected people who state that they are aware of their rights and entitlements</t>
  </si>
  <si>
    <t>(Global)  (MPC/C-CA5/AS.10)  Number of people receiving recurrent services</t>
  </si>
  <si>
    <t>Multi-purpose CASH</t>
  </si>
  <si>
    <t>(Global)  (MPC/C-CA3/AS.9)  Number of community-based complaints\feedback mechanisms established</t>
  </si>
  <si>
    <t>(Global)  (PRO/C-CA34/PM.4)  Number of people receiving training to deliver explosive ordnance risk education</t>
  </si>
  <si>
    <t>(Global)  (PRO/C-CA32/PM.2)  Number of areas/items cleared of explosive hazards</t>
  </si>
  <si>
    <t>Areas/Items</t>
  </si>
  <si>
    <t>(Global)  (HEA/C-CA6/H.2)  Number of people receiving surgical procedures for trauma</t>
  </si>
  <si>
    <t>(Global)  (SHL/C-CA2/AS.2)  Number of implementing partner staff receiving training to support programme implementation</t>
  </si>
  <si>
    <t>(Global)  (NUT/C-CA1/AS.1)  Number of individuals who received life-saving assistance through the distribution of items from emergency stockpiles.</t>
  </si>
  <si>
    <t>(Global)  (CCM/C-CA4/CM.c)  Number of displacement sites with formal feedback mechanisms in place</t>
  </si>
  <si>
    <t>Cases</t>
  </si>
  <si>
    <t>(Global)  (CCM/C-CA3/AS.8)  Percentage of issues identified in feedback processes for which solutions are in process or closed</t>
  </si>
  <si>
    <t>(Global)  (NUT/C-CA5/AS.10)  Number of people receiving recurrent services</t>
  </si>
  <si>
    <t>(Global)  (NUT/C-CA3/AS.7)  Percentage of affected people who state that they were able to access humanitarian assistance and services in a safe, accessible, accountable and participatory manner</t>
  </si>
  <si>
    <t>(Global)  (PRO/C-CA10/PG.1)  Number of human rights and/or protection monitoring missions, analyses and/or reports that inform the humanitarian response</t>
  </si>
  <si>
    <t>(Global)  (PRO/C-CA19/PS.a)  Number of individuals who received life-saving protection support through newly established or strengthened violence prevention and risk-mitigation mechanisms.</t>
  </si>
  <si>
    <t>(Global)  (PRO/C-CA18/PS.1a)  Number of people accessing women- and girl-friendly safe spaces and/or centres</t>
  </si>
  <si>
    <t>(Global)  (PRO/C-CA18/PS.2)  Number of people receiving violence psycho-social support and/or violence case management</t>
  </si>
  <si>
    <t>(Global)  (WSH/C-CA2/AS.2)  Number of implementing partner staff receiving training to support programme implementation</t>
  </si>
  <si>
    <t>(Global)  (CCM/C-CA3/AS.7)  Percentage of affected people who state that they were able to access humanitarian assistance and services in a safe, accessible, accountable and participatory manner</t>
  </si>
  <si>
    <t>(Global)  (PRO/C-CA3/AS.6)  Percentage of affected people who state that the assistance, services and/or protection provided correspond with their needs</t>
  </si>
  <si>
    <t>(Global)  (SHL/C-CA5/SN.3)  Number of shelters and common shelter structures constructed or rehabilitated</t>
  </si>
  <si>
    <t>(Global)  (SHL/C-CA4/SN.6)  Number of people accessing shelter services</t>
  </si>
  <si>
    <t>(Global)  (WSH/C-CA10/H.a)  Number of individuals benefiting from improved solid waste management services.</t>
  </si>
  <si>
    <t>(Global)  (PRO/C-CA14/PP.b)  Number of individuals receiving legal assistance, legal advice, or paralegal support.</t>
  </si>
  <si>
    <t>(Global)  (WSH/C-CA5/AS.10)  Number of people receiving recurrent services</t>
  </si>
  <si>
    <t>(Global)  (WSH/C-CA6/AS.11)  Number of people receiving recurrent in-kind assistance</t>
  </si>
  <si>
    <t>(Global)  (WSH/C-CA3/AS.8)  Percentage of issues identified in feedback processes for which solutions are in process or closed</t>
  </si>
  <si>
    <t>(Global)  (WSH/C-CA3/AS.3)  Percentage of affected people who state that they are aware of their rights and entitlements</t>
  </si>
  <si>
    <t>(Global)  (CCM/C-CA3/AS.9)  Number of community-based complaints\feedback mechanisms established</t>
  </si>
  <si>
    <t>(Global)  (LSV/C-CA1/CS.4)  Total number of passengers transported per project</t>
  </si>
  <si>
    <t>Logistics</t>
  </si>
  <si>
    <t>(Global)  (WSH/C-CA7/WS.b)  Number of individuals reached with hygiene promotion sessions on a regular basis</t>
  </si>
  <si>
    <t>(Global)  (SHL/C-CA1/SN.a)  Number of people receiving Shelter CVA</t>
  </si>
  <si>
    <t>(Global)  (WSH/C-CA3/AS.5)  Percentage of affected people who state that they were consulted on the humanitarian response</t>
  </si>
  <si>
    <t>(Global)  (NUT/C-CA3/AS.3)  Percentage of affected people who state that they are aware of their rights and entitlements</t>
  </si>
  <si>
    <t>(Global)  (WSH/C-CA7/WS.c)  Number of households receiving hygiene kits (incl. menstrual hygiene items)</t>
  </si>
  <si>
    <t>Households</t>
  </si>
  <si>
    <t>(Global)  (WSH/C-CA9/H.13)  Number of people benefitting from vector-borne disease control activities (incl. malaria)</t>
  </si>
  <si>
    <t>(Global)  (WSH/C-CA11/H.b)  Number of individuals benefiting from drainage clearance or flood-risk reduction activities.</t>
  </si>
  <si>
    <t>(Global)  (NUT/C-CA3/AS.4)  Percentage of affected people who state that they are aware of feedback and complaints mechanisms established for their use</t>
  </si>
  <si>
    <t>(Global)  (LSV/C-CA1/CS.2)  Total weight of cargo transported by land, sea or air in MT per project</t>
  </si>
  <si>
    <t>(Global)  (LSV/C-CA2/CS.10)  Number of organizations supported with logistics services</t>
  </si>
  <si>
    <t>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</si>
</sst>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0000"/>
      <name val="Aptos Narrow"/>
    </font>
    <font>
      <sz val="9"/>
      <color rgb="FF000000"/>
      <name val="Aptos Narrow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164" fontId="5" fillId="3" borderId="0" xfId="1" applyNumberFormat="1" applyFont="1" applyFill="1"/>
    <xf numFmtId="10" fontId="5" fillId="3" borderId="0" xfId="2" applyNumberFormat="1" applyFont="1" applyFill="1"/>
    <xf numFmtId="164" fontId="5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2BC2-6CAE-7A44-9D3A-F5CFB3366EFA}">
  <dimension ref="A1:N122"/>
  <sheetViews>
    <sheetView tabSelected="1" topLeftCell="A36" workbookViewId="0">
      <selection sqref="A1:N12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x14ac:dyDescent="0.2">
      <c r="A2" s="4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17</v>
      </c>
      <c r="G2" s="4" t="s">
        <v>17</v>
      </c>
      <c r="H2" s="4">
        <v>795</v>
      </c>
      <c r="I2" s="5" t="s">
        <v>17</v>
      </c>
      <c r="J2" s="5" t="s">
        <v>17</v>
      </c>
      <c r="K2" s="5" t="s">
        <v>17</v>
      </c>
      <c r="L2" s="5" t="s">
        <v>17</v>
      </c>
      <c r="M2" s="5">
        <v>157</v>
      </c>
      <c r="N2" s="6">
        <f>M2/H2</f>
        <v>0.19748427672955976</v>
      </c>
    </row>
    <row r="3" spans="1:14" x14ac:dyDescent="0.2">
      <c r="A3" s="4" t="s">
        <v>18</v>
      </c>
      <c r="B3" s="4" t="s">
        <v>15</v>
      </c>
      <c r="C3" s="4" t="s">
        <v>19</v>
      </c>
      <c r="D3" s="4" t="s">
        <v>17</v>
      </c>
      <c r="E3" s="4" t="s">
        <v>17</v>
      </c>
      <c r="F3" s="4" t="s">
        <v>17</v>
      </c>
      <c r="G3" s="4" t="s">
        <v>17</v>
      </c>
      <c r="H3" s="4">
        <v>56</v>
      </c>
      <c r="I3" s="5" t="s">
        <v>17</v>
      </c>
      <c r="J3" s="5" t="s">
        <v>17</v>
      </c>
      <c r="K3" s="5" t="s">
        <v>17</v>
      </c>
      <c r="L3" s="5" t="s">
        <v>17</v>
      </c>
      <c r="M3" s="5">
        <v>15</v>
      </c>
      <c r="N3" s="6">
        <f t="shared" ref="N3:N66" si="0">M3/H3</f>
        <v>0.26785714285714285</v>
      </c>
    </row>
    <row r="4" spans="1:14" x14ac:dyDescent="0.2">
      <c r="A4" s="4" t="s">
        <v>20</v>
      </c>
      <c r="B4" s="4" t="s">
        <v>21</v>
      </c>
      <c r="C4" s="4" t="s">
        <v>22</v>
      </c>
      <c r="D4" s="4">
        <v>0</v>
      </c>
      <c r="E4" s="4">
        <v>0</v>
      </c>
      <c r="F4" s="4">
        <v>68554</v>
      </c>
      <c r="G4" s="4">
        <v>65459</v>
      </c>
      <c r="H4" s="4">
        <v>134013</v>
      </c>
      <c r="I4" s="5">
        <v>0</v>
      </c>
      <c r="J4" s="5">
        <v>0</v>
      </c>
      <c r="K4" s="5">
        <v>26701</v>
      </c>
      <c r="L4" s="5">
        <v>23668</v>
      </c>
      <c r="M4" s="5">
        <v>50369</v>
      </c>
      <c r="N4" s="6">
        <f t="shared" si="0"/>
        <v>0.37585159648690797</v>
      </c>
    </row>
    <row r="5" spans="1:14" x14ac:dyDescent="0.2">
      <c r="A5" s="4" t="s">
        <v>23</v>
      </c>
      <c r="B5" s="4" t="s">
        <v>24</v>
      </c>
      <c r="C5" s="4" t="s">
        <v>22</v>
      </c>
      <c r="D5" s="4">
        <v>460</v>
      </c>
      <c r="E5" s="4">
        <v>0</v>
      </c>
      <c r="F5" s="4">
        <v>740</v>
      </c>
      <c r="G5" s="4">
        <v>350</v>
      </c>
      <c r="H5" s="4">
        <v>1550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f t="shared" si="0"/>
        <v>0</v>
      </c>
    </row>
    <row r="6" spans="1:14" x14ac:dyDescent="0.2">
      <c r="A6" s="4" t="s">
        <v>25</v>
      </c>
      <c r="B6" s="4" t="s">
        <v>24</v>
      </c>
      <c r="C6" s="4" t="s">
        <v>22</v>
      </c>
      <c r="D6" s="4">
        <v>25957</v>
      </c>
      <c r="E6" s="4">
        <v>420</v>
      </c>
      <c r="F6" s="4">
        <v>16475</v>
      </c>
      <c r="G6" s="4">
        <v>550</v>
      </c>
      <c r="H6" s="4">
        <v>43402</v>
      </c>
      <c r="I6" s="5">
        <v>21337</v>
      </c>
      <c r="J6" s="5">
        <v>636</v>
      </c>
      <c r="K6" s="5">
        <v>11039</v>
      </c>
      <c r="L6" s="5">
        <v>136</v>
      </c>
      <c r="M6" s="5">
        <v>33148</v>
      </c>
      <c r="N6" s="6">
        <f t="shared" si="0"/>
        <v>0.76374360628542459</v>
      </c>
    </row>
    <row r="7" spans="1:14" x14ac:dyDescent="0.2">
      <c r="A7" s="4" t="s">
        <v>26</v>
      </c>
      <c r="B7" s="4" t="s">
        <v>24</v>
      </c>
      <c r="C7" s="4" t="s">
        <v>22</v>
      </c>
      <c r="D7" s="4">
        <v>13016</v>
      </c>
      <c r="E7" s="4">
        <v>5860</v>
      </c>
      <c r="F7" s="4">
        <v>10505</v>
      </c>
      <c r="G7" s="4">
        <v>10757</v>
      </c>
      <c r="H7" s="4">
        <v>40138</v>
      </c>
      <c r="I7" s="5">
        <v>121</v>
      </c>
      <c r="J7" s="5">
        <v>52</v>
      </c>
      <c r="K7" s="5">
        <v>102</v>
      </c>
      <c r="L7" s="5">
        <v>109</v>
      </c>
      <c r="M7" s="5">
        <v>384</v>
      </c>
      <c r="N7" s="6">
        <f t="shared" si="0"/>
        <v>9.5669938711445517E-3</v>
      </c>
    </row>
    <row r="8" spans="1:14" x14ac:dyDescent="0.2">
      <c r="A8" s="4" t="s">
        <v>27</v>
      </c>
      <c r="B8" s="4" t="s">
        <v>24</v>
      </c>
      <c r="C8" s="4" t="s">
        <v>22</v>
      </c>
      <c r="D8" s="4">
        <v>31447</v>
      </c>
      <c r="E8" s="4">
        <v>4919</v>
      </c>
      <c r="F8" s="4">
        <v>17934</v>
      </c>
      <c r="G8" s="4">
        <v>6015</v>
      </c>
      <c r="H8" s="4">
        <v>60315</v>
      </c>
      <c r="I8" s="5">
        <v>13776</v>
      </c>
      <c r="J8" s="5">
        <v>1075</v>
      </c>
      <c r="K8" s="5">
        <v>7435</v>
      </c>
      <c r="L8" s="5">
        <v>964</v>
      </c>
      <c r="M8" s="5">
        <v>23250</v>
      </c>
      <c r="N8" s="6">
        <f t="shared" si="0"/>
        <v>0.38547624968913208</v>
      </c>
    </row>
    <row r="9" spans="1:14" x14ac:dyDescent="0.2">
      <c r="A9" s="4" t="s">
        <v>28</v>
      </c>
      <c r="B9" s="4" t="s">
        <v>29</v>
      </c>
      <c r="C9" s="4" t="s">
        <v>22</v>
      </c>
      <c r="D9" s="4">
        <v>26184</v>
      </c>
      <c r="E9" s="4">
        <v>24175</v>
      </c>
      <c r="F9" s="4">
        <v>30123</v>
      </c>
      <c r="G9" s="4">
        <v>27783</v>
      </c>
      <c r="H9" s="4">
        <v>108265</v>
      </c>
      <c r="I9" s="5">
        <v>30175</v>
      </c>
      <c r="J9" s="5">
        <v>30045</v>
      </c>
      <c r="K9" s="5">
        <v>37702</v>
      </c>
      <c r="L9" s="5">
        <v>33142</v>
      </c>
      <c r="M9" s="5">
        <v>131064</v>
      </c>
      <c r="N9" s="6">
        <f t="shared" si="0"/>
        <v>1.210585138318016</v>
      </c>
    </row>
    <row r="10" spans="1:14" x14ac:dyDescent="0.2">
      <c r="A10" s="4" t="s">
        <v>30</v>
      </c>
      <c r="B10" s="4" t="s">
        <v>24</v>
      </c>
      <c r="C10" s="4" t="s">
        <v>22</v>
      </c>
      <c r="D10" s="4">
        <v>40513</v>
      </c>
      <c r="E10" s="4">
        <v>29299</v>
      </c>
      <c r="F10" s="4">
        <v>37102</v>
      </c>
      <c r="G10" s="4">
        <v>29918</v>
      </c>
      <c r="H10" s="4">
        <v>136832</v>
      </c>
      <c r="I10" s="5">
        <v>19916</v>
      </c>
      <c r="J10" s="5">
        <v>10893</v>
      </c>
      <c r="K10" s="5">
        <v>13050</v>
      </c>
      <c r="L10" s="5">
        <v>12005</v>
      </c>
      <c r="M10" s="5">
        <v>55864</v>
      </c>
      <c r="N10" s="6">
        <f t="shared" si="0"/>
        <v>0.40826707202993451</v>
      </c>
    </row>
    <row r="11" spans="1:14" x14ac:dyDescent="0.2">
      <c r="A11" s="4" t="s">
        <v>31</v>
      </c>
      <c r="B11" s="4" t="s">
        <v>24</v>
      </c>
      <c r="C11" s="4" t="s">
        <v>32</v>
      </c>
      <c r="D11" s="4" t="s">
        <v>17</v>
      </c>
      <c r="E11" s="4" t="s">
        <v>17</v>
      </c>
      <c r="F11" s="4" t="s">
        <v>17</v>
      </c>
      <c r="G11" s="4" t="s">
        <v>17</v>
      </c>
      <c r="H11" s="4">
        <v>32</v>
      </c>
      <c r="I11" s="5" t="s">
        <v>17</v>
      </c>
      <c r="J11" s="5" t="s">
        <v>17</v>
      </c>
      <c r="K11" s="5" t="s">
        <v>17</v>
      </c>
      <c r="L11" s="5" t="s">
        <v>17</v>
      </c>
      <c r="M11" s="5">
        <v>13</v>
      </c>
      <c r="N11" s="6">
        <f t="shared" si="0"/>
        <v>0.40625</v>
      </c>
    </row>
    <row r="12" spans="1:14" x14ac:dyDescent="0.2">
      <c r="A12" s="4" t="s">
        <v>33</v>
      </c>
      <c r="B12" s="4" t="s">
        <v>24</v>
      </c>
      <c r="C12" s="4" t="s">
        <v>22</v>
      </c>
      <c r="D12" s="4">
        <v>3637</v>
      </c>
      <c r="E12" s="4">
        <v>1448</v>
      </c>
      <c r="F12" s="4">
        <v>27431</v>
      </c>
      <c r="G12" s="4">
        <v>22328</v>
      </c>
      <c r="H12" s="4">
        <v>54844</v>
      </c>
      <c r="I12" s="5">
        <v>1674</v>
      </c>
      <c r="J12" s="5">
        <v>353</v>
      </c>
      <c r="K12" s="5">
        <v>11346</v>
      </c>
      <c r="L12" s="5">
        <v>11810</v>
      </c>
      <c r="M12" s="5">
        <v>25183</v>
      </c>
      <c r="N12" s="6">
        <f t="shared" si="0"/>
        <v>0.45917511487127122</v>
      </c>
    </row>
    <row r="13" spans="1:14" x14ac:dyDescent="0.2">
      <c r="A13" s="4" t="s">
        <v>34</v>
      </c>
      <c r="B13" s="4" t="s">
        <v>35</v>
      </c>
      <c r="C13" s="4" t="s">
        <v>22</v>
      </c>
      <c r="D13" s="4">
        <v>78276</v>
      </c>
      <c r="E13" s="4">
        <v>67394</v>
      </c>
      <c r="F13" s="4">
        <v>79631</v>
      </c>
      <c r="G13" s="4">
        <v>78733</v>
      </c>
      <c r="H13" s="4">
        <v>304034</v>
      </c>
      <c r="I13" s="5">
        <v>59321</v>
      </c>
      <c r="J13" s="5">
        <v>55980</v>
      </c>
      <c r="K13" s="5">
        <v>65259</v>
      </c>
      <c r="L13" s="5">
        <v>61263</v>
      </c>
      <c r="M13" s="5">
        <v>241823</v>
      </c>
      <c r="N13" s="6">
        <f t="shared" si="0"/>
        <v>0.79538143760237345</v>
      </c>
    </row>
    <row r="14" spans="1:14" x14ac:dyDescent="0.2">
      <c r="A14" s="4" t="s">
        <v>36</v>
      </c>
      <c r="B14" s="4" t="s">
        <v>24</v>
      </c>
      <c r="C14" s="4" t="s">
        <v>37</v>
      </c>
      <c r="D14" s="4" t="s">
        <v>17</v>
      </c>
      <c r="E14" s="4" t="s">
        <v>17</v>
      </c>
      <c r="F14" s="4">
        <v>7</v>
      </c>
      <c r="G14" s="4">
        <v>16</v>
      </c>
      <c r="H14" s="4">
        <v>23</v>
      </c>
      <c r="I14" s="5" t="s">
        <v>17</v>
      </c>
      <c r="J14" s="5" t="s">
        <v>17</v>
      </c>
      <c r="K14" s="5">
        <v>3</v>
      </c>
      <c r="L14" s="5">
        <v>7</v>
      </c>
      <c r="M14" s="5">
        <v>10</v>
      </c>
      <c r="N14" s="6">
        <f t="shared" si="0"/>
        <v>0.43478260869565216</v>
      </c>
    </row>
    <row r="15" spans="1:14" x14ac:dyDescent="0.2">
      <c r="A15" s="4" t="s">
        <v>38</v>
      </c>
      <c r="B15" s="4" t="s">
        <v>24</v>
      </c>
      <c r="C15" s="4" t="s">
        <v>22</v>
      </c>
      <c r="D15" s="4">
        <v>421</v>
      </c>
      <c r="E15" s="4">
        <v>451</v>
      </c>
      <c r="F15" s="4">
        <v>0</v>
      </c>
      <c r="G15" s="4">
        <v>0</v>
      </c>
      <c r="H15" s="4">
        <v>872</v>
      </c>
      <c r="I15" s="5">
        <v>255</v>
      </c>
      <c r="J15" s="5">
        <v>274</v>
      </c>
      <c r="K15" s="5">
        <v>0</v>
      </c>
      <c r="L15" s="5">
        <v>0</v>
      </c>
      <c r="M15" s="5">
        <v>529</v>
      </c>
      <c r="N15" s="6">
        <f t="shared" si="0"/>
        <v>0.60665137614678899</v>
      </c>
    </row>
    <row r="16" spans="1:14" x14ac:dyDescent="0.2">
      <c r="A16" s="4" t="s">
        <v>39</v>
      </c>
      <c r="B16" s="4" t="s">
        <v>24</v>
      </c>
      <c r="C16" s="4" t="s">
        <v>22</v>
      </c>
      <c r="D16" s="4">
        <v>0</v>
      </c>
      <c r="E16" s="4">
        <v>0</v>
      </c>
      <c r="F16" s="4">
        <v>5834</v>
      </c>
      <c r="G16" s="4">
        <v>4597</v>
      </c>
      <c r="H16" s="4">
        <v>10431</v>
      </c>
      <c r="I16" s="5">
        <v>0</v>
      </c>
      <c r="J16" s="5">
        <v>0</v>
      </c>
      <c r="K16" s="5">
        <v>3008</v>
      </c>
      <c r="L16" s="5">
        <v>2993</v>
      </c>
      <c r="M16" s="5">
        <v>6001</v>
      </c>
      <c r="N16" s="6">
        <f t="shared" si="0"/>
        <v>0.57530438117150795</v>
      </c>
    </row>
    <row r="17" spans="1:14" x14ac:dyDescent="0.2">
      <c r="A17" s="4" t="s">
        <v>40</v>
      </c>
      <c r="B17" s="4" t="s">
        <v>24</v>
      </c>
      <c r="C17" s="4" t="s">
        <v>22</v>
      </c>
      <c r="D17" s="4">
        <v>30256</v>
      </c>
      <c r="E17" s="4">
        <v>260</v>
      </c>
      <c r="F17" s="4">
        <v>13340</v>
      </c>
      <c r="G17" s="4">
        <v>227</v>
      </c>
      <c r="H17" s="4">
        <v>44083</v>
      </c>
      <c r="I17" s="5">
        <v>1089</v>
      </c>
      <c r="J17" s="5">
        <v>55</v>
      </c>
      <c r="K17" s="5">
        <v>1072</v>
      </c>
      <c r="L17" s="5">
        <v>4</v>
      </c>
      <c r="M17" s="5">
        <v>2220</v>
      </c>
      <c r="N17" s="6">
        <f t="shared" si="0"/>
        <v>5.0359549032506862E-2</v>
      </c>
    </row>
    <row r="18" spans="1:14" x14ac:dyDescent="0.2">
      <c r="A18" s="4" t="s">
        <v>41</v>
      </c>
      <c r="B18" s="4" t="s">
        <v>29</v>
      </c>
      <c r="C18" s="4" t="s">
        <v>22</v>
      </c>
      <c r="D18" s="4">
        <v>39828</v>
      </c>
      <c r="E18" s="4">
        <v>29511</v>
      </c>
      <c r="F18" s="4">
        <v>40635</v>
      </c>
      <c r="G18" s="4">
        <v>39076</v>
      </c>
      <c r="H18" s="4">
        <v>149050</v>
      </c>
      <c r="I18" s="5">
        <v>25806</v>
      </c>
      <c r="J18" s="5">
        <v>20458</v>
      </c>
      <c r="K18" s="5">
        <v>23940</v>
      </c>
      <c r="L18" s="5">
        <v>20800</v>
      </c>
      <c r="M18" s="5">
        <v>91004</v>
      </c>
      <c r="N18" s="6">
        <f t="shared" si="0"/>
        <v>0.61056021469305599</v>
      </c>
    </row>
    <row r="19" spans="1:14" x14ac:dyDescent="0.2">
      <c r="A19" s="4" t="s">
        <v>42</v>
      </c>
      <c r="B19" s="4" t="s">
        <v>29</v>
      </c>
      <c r="C19" s="4" t="s">
        <v>22</v>
      </c>
      <c r="D19" s="4">
        <v>28015</v>
      </c>
      <c r="E19" s="4">
        <v>18513</v>
      </c>
      <c r="F19" s="4">
        <v>29784</v>
      </c>
      <c r="G19" s="7">
        <v>25987</v>
      </c>
      <c r="H19" s="7">
        <v>102299</v>
      </c>
      <c r="I19" s="5">
        <v>22311</v>
      </c>
      <c r="J19" s="5">
        <v>20045</v>
      </c>
      <c r="K19" s="5">
        <v>24850</v>
      </c>
      <c r="L19" s="5">
        <v>22247</v>
      </c>
      <c r="M19" s="5">
        <v>89453</v>
      </c>
      <c r="N19" s="6">
        <f t="shared" si="0"/>
        <v>0.87442692499437924</v>
      </c>
    </row>
    <row r="20" spans="1:14" x14ac:dyDescent="0.2">
      <c r="A20" s="4" t="s">
        <v>43</v>
      </c>
      <c r="B20" s="4" t="s">
        <v>21</v>
      </c>
      <c r="C20" s="4" t="s">
        <v>22</v>
      </c>
      <c r="D20" s="4">
        <v>38577</v>
      </c>
      <c r="E20" s="4">
        <v>0</v>
      </c>
      <c r="F20" s="4">
        <v>24486</v>
      </c>
      <c r="G20" s="4">
        <v>28203</v>
      </c>
      <c r="H20" s="4">
        <v>91266</v>
      </c>
      <c r="I20" s="5">
        <v>19377</v>
      </c>
      <c r="J20" s="5">
        <v>0</v>
      </c>
      <c r="K20" s="5">
        <v>19875</v>
      </c>
      <c r="L20" s="5">
        <v>19460</v>
      </c>
      <c r="M20" s="5">
        <v>58712</v>
      </c>
      <c r="N20" s="6">
        <f t="shared" si="0"/>
        <v>0.64330637915543576</v>
      </c>
    </row>
    <row r="21" spans="1:14" x14ac:dyDescent="0.2">
      <c r="A21" s="4" t="s">
        <v>44</v>
      </c>
      <c r="B21" s="4" t="s">
        <v>21</v>
      </c>
      <c r="C21" s="4" t="s">
        <v>22</v>
      </c>
      <c r="D21" s="4">
        <v>51345</v>
      </c>
      <c r="E21" s="4">
        <v>0</v>
      </c>
      <c r="F21" s="4">
        <v>55501</v>
      </c>
      <c r="G21" s="4">
        <v>47747</v>
      </c>
      <c r="H21" s="4">
        <v>154593</v>
      </c>
      <c r="I21" s="5">
        <v>42730</v>
      </c>
      <c r="J21" s="5">
        <v>0</v>
      </c>
      <c r="K21" s="5">
        <v>32380</v>
      </c>
      <c r="L21" s="5">
        <v>30931</v>
      </c>
      <c r="M21" s="5">
        <v>106041</v>
      </c>
      <c r="N21" s="6">
        <f t="shared" si="0"/>
        <v>0.68593662067493355</v>
      </c>
    </row>
    <row r="22" spans="1:14" x14ac:dyDescent="0.2">
      <c r="A22" s="4" t="s">
        <v>45</v>
      </c>
      <c r="B22" s="4" t="s">
        <v>15</v>
      </c>
      <c r="C22" s="4" t="s">
        <v>46</v>
      </c>
      <c r="D22" s="4" t="s">
        <v>17</v>
      </c>
      <c r="E22" s="4" t="s">
        <v>17</v>
      </c>
      <c r="F22" s="4" t="s">
        <v>17</v>
      </c>
      <c r="G22" s="4" t="s">
        <v>17</v>
      </c>
      <c r="H22" s="4">
        <v>423093</v>
      </c>
      <c r="I22" s="5" t="s">
        <v>17</v>
      </c>
      <c r="J22" s="5" t="s">
        <v>17</v>
      </c>
      <c r="K22" s="5" t="s">
        <v>17</v>
      </c>
      <c r="L22" s="5" t="s">
        <v>17</v>
      </c>
      <c r="M22" s="5">
        <v>247060</v>
      </c>
      <c r="N22" s="6">
        <f t="shared" si="0"/>
        <v>0.58393781036320624</v>
      </c>
    </row>
    <row r="23" spans="1:14" x14ac:dyDescent="0.2">
      <c r="A23" s="4" t="s">
        <v>47</v>
      </c>
      <c r="B23" s="4" t="s">
        <v>24</v>
      </c>
      <c r="C23" s="4" t="s">
        <v>48</v>
      </c>
      <c r="D23" s="4">
        <v>986</v>
      </c>
      <c r="E23" s="4" t="s">
        <v>17</v>
      </c>
      <c r="F23" s="4">
        <v>1038</v>
      </c>
      <c r="G23" s="4" t="s">
        <v>17</v>
      </c>
      <c r="H23" s="4">
        <v>2024</v>
      </c>
      <c r="I23" s="5">
        <v>9</v>
      </c>
      <c r="J23" s="5" t="s">
        <v>17</v>
      </c>
      <c r="K23" s="5">
        <v>3</v>
      </c>
      <c r="L23" s="5" t="s">
        <v>17</v>
      </c>
      <c r="M23" s="5">
        <v>12</v>
      </c>
      <c r="N23" s="6">
        <f t="shared" si="0"/>
        <v>5.9288537549407111E-3</v>
      </c>
    </row>
    <row r="24" spans="1:14" x14ac:dyDescent="0.2">
      <c r="A24" s="4" t="s">
        <v>49</v>
      </c>
      <c r="B24" s="4" t="s">
        <v>15</v>
      </c>
      <c r="C24" s="4" t="s">
        <v>19</v>
      </c>
      <c r="D24" s="4" t="s">
        <v>17</v>
      </c>
      <c r="E24" s="4" t="s">
        <v>17</v>
      </c>
      <c r="F24" s="4" t="s">
        <v>17</v>
      </c>
      <c r="G24" s="4" t="s">
        <v>17</v>
      </c>
      <c r="H24" s="4">
        <v>61</v>
      </c>
      <c r="I24" s="5" t="s">
        <v>17</v>
      </c>
      <c r="J24" s="5" t="s">
        <v>17</v>
      </c>
      <c r="K24" s="5" t="s">
        <v>17</v>
      </c>
      <c r="L24" s="5" t="s">
        <v>17</v>
      </c>
      <c r="M24" s="5">
        <v>33</v>
      </c>
      <c r="N24" s="6">
        <f t="shared" si="0"/>
        <v>0.54098360655737709</v>
      </c>
    </row>
    <row r="25" spans="1:14" x14ac:dyDescent="0.2">
      <c r="A25" s="4" t="s">
        <v>50</v>
      </c>
      <c r="B25" s="4" t="s">
        <v>15</v>
      </c>
      <c r="C25" s="4" t="s">
        <v>22</v>
      </c>
      <c r="D25" s="4">
        <v>0</v>
      </c>
      <c r="E25" s="4">
        <v>0</v>
      </c>
      <c r="F25" s="4">
        <v>2357</v>
      </c>
      <c r="G25" s="4">
        <v>2046</v>
      </c>
      <c r="H25" s="4">
        <v>4403</v>
      </c>
      <c r="I25" s="5">
        <v>0</v>
      </c>
      <c r="J25" s="5">
        <v>0</v>
      </c>
      <c r="K25" s="5">
        <v>365</v>
      </c>
      <c r="L25" s="5">
        <v>303</v>
      </c>
      <c r="M25" s="5">
        <v>668</v>
      </c>
      <c r="N25" s="6">
        <f t="shared" si="0"/>
        <v>0.15171473995003407</v>
      </c>
    </row>
    <row r="26" spans="1:14" x14ac:dyDescent="0.2">
      <c r="A26" s="4" t="s">
        <v>51</v>
      </c>
      <c r="B26" s="4" t="s">
        <v>15</v>
      </c>
      <c r="C26" s="4" t="s">
        <v>52</v>
      </c>
      <c r="D26" s="4" t="s">
        <v>17</v>
      </c>
      <c r="E26" s="4" t="s">
        <v>17</v>
      </c>
      <c r="F26" s="4" t="s">
        <v>17</v>
      </c>
      <c r="G26" s="4" t="s">
        <v>17</v>
      </c>
      <c r="H26" s="4">
        <v>5267</v>
      </c>
      <c r="I26" s="5" t="s">
        <v>17</v>
      </c>
      <c r="J26" s="5" t="s">
        <v>17</v>
      </c>
      <c r="K26" s="5" t="s">
        <v>17</v>
      </c>
      <c r="L26" s="5" t="s">
        <v>17</v>
      </c>
      <c r="M26" s="5">
        <v>1782</v>
      </c>
      <c r="N26" s="6">
        <f t="shared" si="0"/>
        <v>0.33833301689766471</v>
      </c>
    </row>
    <row r="27" spans="1:14" x14ac:dyDescent="0.2">
      <c r="A27" s="4" t="s">
        <v>53</v>
      </c>
      <c r="B27" s="4" t="s">
        <v>15</v>
      </c>
      <c r="C27" s="4" t="s">
        <v>22</v>
      </c>
      <c r="D27" s="4">
        <v>10584</v>
      </c>
      <c r="E27" s="4">
        <v>8005</v>
      </c>
      <c r="F27" s="4">
        <v>6935</v>
      </c>
      <c r="G27" s="4">
        <v>7876</v>
      </c>
      <c r="H27" s="4">
        <v>33400</v>
      </c>
      <c r="I27" s="5">
        <v>5897</v>
      </c>
      <c r="J27" s="5">
        <v>3476</v>
      </c>
      <c r="K27" s="5">
        <v>4828</v>
      </c>
      <c r="L27" s="5">
        <v>4640</v>
      </c>
      <c r="M27" s="5">
        <v>18841</v>
      </c>
      <c r="N27" s="6">
        <f t="shared" si="0"/>
        <v>0.56410179640718561</v>
      </c>
    </row>
    <row r="28" spans="1:14" x14ac:dyDescent="0.2">
      <c r="A28" s="4" t="s">
        <v>54</v>
      </c>
      <c r="B28" s="4" t="s">
        <v>15</v>
      </c>
      <c r="C28" s="4" t="s">
        <v>22</v>
      </c>
      <c r="D28" s="4">
        <v>5381</v>
      </c>
      <c r="E28" s="4">
        <v>3687</v>
      </c>
      <c r="F28" s="4">
        <v>3041</v>
      </c>
      <c r="G28" s="4">
        <v>2683</v>
      </c>
      <c r="H28" s="4">
        <v>14792</v>
      </c>
      <c r="I28" s="5">
        <v>2952</v>
      </c>
      <c r="J28" s="5">
        <v>1510</v>
      </c>
      <c r="K28" s="5">
        <v>2052</v>
      </c>
      <c r="L28" s="5">
        <v>1813</v>
      </c>
      <c r="M28" s="5">
        <v>8327</v>
      </c>
      <c r="N28" s="6">
        <f t="shared" si="0"/>
        <v>0.56293942671714436</v>
      </c>
    </row>
    <row r="29" spans="1:14" x14ac:dyDescent="0.2">
      <c r="A29" s="4" t="s">
        <v>55</v>
      </c>
      <c r="B29" s="4" t="s">
        <v>15</v>
      </c>
      <c r="C29" s="4" t="s">
        <v>22</v>
      </c>
      <c r="D29" s="4">
        <v>180</v>
      </c>
      <c r="E29" s="4">
        <v>219</v>
      </c>
      <c r="F29" s="4">
        <v>0</v>
      </c>
      <c r="G29" s="4">
        <v>0</v>
      </c>
      <c r="H29" s="4">
        <v>399</v>
      </c>
      <c r="I29" s="5">
        <v>64</v>
      </c>
      <c r="J29" s="5">
        <v>136</v>
      </c>
      <c r="K29" s="5">
        <v>0</v>
      </c>
      <c r="L29" s="5">
        <v>0</v>
      </c>
      <c r="M29" s="5">
        <v>200</v>
      </c>
      <c r="N29" s="6">
        <f t="shared" si="0"/>
        <v>0.50125313283208017</v>
      </c>
    </row>
    <row r="30" spans="1:14" x14ac:dyDescent="0.2">
      <c r="A30" s="4" t="s">
        <v>56</v>
      </c>
      <c r="B30" s="4" t="s">
        <v>15</v>
      </c>
      <c r="C30" s="4" t="s">
        <v>32</v>
      </c>
      <c r="D30" s="4" t="s">
        <v>17</v>
      </c>
      <c r="E30" s="4" t="s">
        <v>17</v>
      </c>
      <c r="F30" s="4" t="s">
        <v>17</v>
      </c>
      <c r="G30" s="4" t="s">
        <v>17</v>
      </c>
      <c r="H30" s="4">
        <v>23</v>
      </c>
      <c r="I30" s="5" t="s">
        <v>17</v>
      </c>
      <c r="J30" s="5" t="s">
        <v>17</v>
      </c>
      <c r="K30" s="5" t="s">
        <v>17</v>
      </c>
      <c r="L30" s="5" t="s">
        <v>17</v>
      </c>
      <c r="M30" s="5">
        <v>28</v>
      </c>
      <c r="N30" s="6">
        <f t="shared" si="0"/>
        <v>1.2173913043478262</v>
      </c>
    </row>
    <row r="31" spans="1:14" x14ac:dyDescent="0.2">
      <c r="A31" s="4" t="s">
        <v>57</v>
      </c>
      <c r="B31" s="4" t="s">
        <v>15</v>
      </c>
      <c r="C31" s="4" t="s">
        <v>22</v>
      </c>
      <c r="D31" s="4">
        <v>272</v>
      </c>
      <c r="E31" s="4">
        <v>22</v>
      </c>
      <c r="F31" s="4">
        <v>190</v>
      </c>
      <c r="G31" s="4">
        <v>22</v>
      </c>
      <c r="H31" s="4">
        <v>506</v>
      </c>
      <c r="I31" s="5">
        <v>47</v>
      </c>
      <c r="J31" s="5">
        <v>1</v>
      </c>
      <c r="K31" s="5">
        <v>9</v>
      </c>
      <c r="L31" s="5">
        <v>1</v>
      </c>
      <c r="M31" s="5">
        <v>58</v>
      </c>
      <c r="N31" s="6">
        <f t="shared" si="0"/>
        <v>0.11462450592885376</v>
      </c>
    </row>
    <row r="32" spans="1:14" x14ac:dyDescent="0.2">
      <c r="A32" s="4" t="s">
        <v>58</v>
      </c>
      <c r="B32" s="4" t="s">
        <v>15</v>
      </c>
      <c r="C32" s="4" t="s">
        <v>59</v>
      </c>
      <c r="D32" s="4">
        <v>0</v>
      </c>
      <c r="E32" s="4">
        <v>0</v>
      </c>
      <c r="F32" s="4">
        <v>5417</v>
      </c>
      <c r="G32" s="4">
        <v>3874</v>
      </c>
      <c r="H32" s="4">
        <v>9291</v>
      </c>
      <c r="I32" s="5">
        <v>0</v>
      </c>
      <c r="J32" s="5">
        <v>0</v>
      </c>
      <c r="K32" s="5">
        <v>897</v>
      </c>
      <c r="L32" s="5">
        <v>778</v>
      </c>
      <c r="M32" s="5">
        <v>1675</v>
      </c>
      <c r="N32" s="6">
        <f t="shared" si="0"/>
        <v>0.18028199332687547</v>
      </c>
    </row>
    <row r="33" spans="1:14" x14ac:dyDescent="0.2">
      <c r="A33" s="4" t="s">
        <v>60</v>
      </c>
      <c r="B33" s="4" t="s">
        <v>15</v>
      </c>
      <c r="C33" s="4" t="s">
        <v>22</v>
      </c>
      <c r="D33" s="4">
        <v>3082</v>
      </c>
      <c r="E33" s="4">
        <v>2387</v>
      </c>
      <c r="F33" s="4">
        <v>2347</v>
      </c>
      <c r="G33" s="4">
        <v>1996</v>
      </c>
      <c r="H33" s="4">
        <v>9812</v>
      </c>
      <c r="I33" s="5">
        <v>5210</v>
      </c>
      <c r="J33" s="5">
        <v>3884</v>
      </c>
      <c r="K33" s="5">
        <v>2131</v>
      </c>
      <c r="L33" s="5">
        <v>1747</v>
      </c>
      <c r="M33" s="5">
        <v>12972</v>
      </c>
      <c r="N33" s="6">
        <f t="shared" si="0"/>
        <v>1.3220546269873623</v>
      </c>
    </row>
    <row r="34" spans="1:14" x14ac:dyDescent="0.2">
      <c r="A34" s="4" t="s">
        <v>61</v>
      </c>
      <c r="B34" s="4" t="s">
        <v>15</v>
      </c>
      <c r="C34" s="4" t="s">
        <v>22</v>
      </c>
      <c r="D34" s="4">
        <v>2459</v>
      </c>
      <c r="E34" s="4">
        <v>2012</v>
      </c>
      <c r="F34" s="4">
        <v>1344</v>
      </c>
      <c r="G34" s="4">
        <v>1062</v>
      </c>
      <c r="H34" s="4">
        <v>6877</v>
      </c>
      <c r="I34" s="5">
        <v>4015</v>
      </c>
      <c r="J34" s="5">
        <v>2423</v>
      </c>
      <c r="K34" s="5">
        <v>1198</v>
      </c>
      <c r="L34" s="5">
        <v>1026</v>
      </c>
      <c r="M34" s="5">
        <v>8662</v>
      </c>
      <c r="N34" s="6">
        <f t="shared" si="0"/>
        <v>1.259560855023993</v>
      </c>
    </row>
    <row r="35" spans="1:14" x14ac:dyDescent="0.2">
      <c r="A35" s="4" t="s">
        <v>62</v>
      </c>
      <c r="B35" s="4" t="s">
        <v>15</v>
      </c>
      <c r="C35" s="4" t="s">
        <v>22</v>
      </c>
      <c r="D35" s="4">
        <v>3641</v>
      </c>
      <c r="E35" s="4">
        <v>3225</v>
      </c>
      <c r="F35" s="4">
        <v>4429</v>
      </c>
      <c r="G35" s="4">
        <v>4059</v>
      </c>
      <c r="H35" s="4">
        <v>15354</v>
      </c>
      <c r="I35" s="5">
        <v>1854</v>
      </c>
      <c r="J35" s="5">
        <v>1344</v>
      </c>
      <c r="K35" s="5">
        <v>1287</v>
      </c>
      <c r="L35" s="5">
        <v>1122</v>
      </c>
      <c r="M35" s="5">
        <v>5607</v>
      </c>
      <c r="N35" s="6">
        <f t="shared" si="0"/>
        <v>0.36518171160609614</v>
      </c>
    </row>
    <row r="36" spans="1:14" x14ac:dyDescent="0.2">
      <c r="A36" s="4" t="s">
        <v>63</v>
      </c>
      <c r="B36" s="4" t="s">
        <v>21</v>
      </c>
      <c r="C36" s="4" t="s">
        <v>64</v>
      </c>
      <c r="D36" s="4" t="s">
        <v>17</v>
      </c>
      <c r="E36" s="4" t="s">
        <v>17</v>
      </c>
      <c r="F36" s="4" t="s">
        <v>17</v>
      </c>
      <c r="G36" s="4" t="s">
        <v>17</v>
      </c>
      <c r="H36" s="4">
        <v>62</v>
      </c>
      <c r="I36" s="5" t="s">
        <v>17</v>
      </c>
      <c r="J36" s="5" t="s">
        <v>17</v>
      </c>
      <c r="K36" s="5" t="s">
        <v>17</v>
      </c>
      <c r="L36" s="5" t="s">
        <v>17</v>
      </c>
      <c r="M36" s="5">
        <v>0</v>
      </c>
      <c r="N36" s="6">
        <f t="shared" si="0"/>
        <v>0</v>
      </c>
    </row>
    <row r="37" spans="1:14" x14ac:dyDescent="0.2">
      <c r="A37" s="4" t="s">
        <v>65</v>
      </c>
      <c r="B37" s="4" t="s">
        <v>21</v>
      </c>
      <c r="C37" s="4" t="s">
        <v>22</v>
      </c>
      <c r="D37" s="4">
        <v>293786</v>
      </c>
      <c r="E37" s="4">
        <v>18705</v>
      </c>
      <c r="F37" s="4">
        <v>12080</v>
      </c>
      <c r="G37" s="4">
        <v>10866</v>
      </c>
      <c r="H37" s="4">
        <v>335437</v>
      </c>
      <c r="I37" s="5">
        <v>107804</v>
      </c>
      <c r="J37" s="5">
        <v>29276</v>
      </c>
      <c r="K37" s="5">
        <v>23124</v>
      </c>
      <c r="L37" s="5">
        <v>20910</v>
      </c>
      <c r="M37" s="5">
        <v>181114</v>
      </c>
      <c r="N37" s="6">
        <f t="shared" si="0"/>
        <v>0.53993447353750479</v>
      </c>
    </row>
    <row r="38" spans="1:14" x14ac:dyDescent="0.2">
      <c r="A38" s="4" t="s">
        <v>66</v>
      </c>
      <c r="B38" s="4" t="s">
        <v>67</v>
      </c>
      <c r="C38" s="4" t="s">
        <v>22</v>
      </c>
      <c r="D38" s="4">
        <v>12724</v>
      </c>
      <c r="E38" s="4">
        <v>10338</v>
      </c>
      <c r="F38" s="4">
        <v>30218</v>
      </c>
      <c r="G38" s="4">
        <v>26242</v>
      </c>
      <c r="H38" s="4">
        <v>79522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6">
        <f t="shared" si="0"/>
        <v>0</v>
      </c>
    </row>
    <row r="39" spans="1:14" x14ac:dyDescent="0.2">
      <c r="A39" s="4" t="s">
        <v>68</v>
      </c>
      <c r="B39" s="4" t="s">
        <v>67</v>
      </c>
      <c r="C39" s="4" t="s">
        <v>22</v>
      </c>
      <c r="D39" s="4">
        <v>37800</v>
      </c>
      <c r="E39" s="4">
        <v>30712</v>
      </c>
      <c r="F39" s="4">
        <v>89774</v>
      </c>
      <c r="G39" s="4">
        <v>77961</v>
      </c>
      <c r="H39" s="4">
        <v>236247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6">
        <f t="shared" si="0"/>
        <v>0</v>
      </c>
    </row>
    <row r="40" spans="1:14" x14ac:dyDescent="0.2">
      <c r="A40" s="4" t="s">
        <v>69</v>
      </c>
      <c r="B40" s="4" t="s">
        <v>21</v>
      </c>
      <c r="C40" s="4" t="s">
        <v>22</v>
      </c>
      <c r="D40" s="4">
        <v>0</v>
      </c>
      <c r="E40" s="4">
        <v>0</v>
      </c>
      <c r="F40" s="4">
        <v>282193</v>
      </c>
      <c r="G40" s="4">
        <v>267868</v>
      </c>
      <c r="H40" s="4">
        <v>550061</v>
      </c>
      <c r="I40" s="5">
        <v>0</v>
      </c>
      <c r="J40" s="5">
        <v>0</v>
      </c>
      <c r="K40" s="5">
        <v>221496</v>
      </c>
      <c r="L40" s="5">
        <v>201062</v>
      </c>
      <c r="M40" s="5">
        <v>422558</v>
      </c>
      <c r="N40" s="6">
        <f t="shared" si="0"/>
        <v>0.76820207213381786</v>
      </c>
    </row>
    <row r="41" spans="1:14" x14ac:dyDescent="0.2">
      <c r="A41" s="4" t="s">
        <v>70</v>
      </c>
      <c r="B41" s="4" t="s">
        <v>24</v>
      </c>
      <c r="C41" s="4" t="s">
        <v>22</v>
      </c>
      <c r="D41" s="4">
        <v>52175</v>
      </c>
      <c r="E41" s="4">
        <v>41410</v>
      </c>
      <c r="F41" s="4">
        <v>43539</v>
      </c>
      <c r="G41" s="4">
        <v>35877</v>
      </c>
      <c r="H41" s="4">
        <v>173001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f t="shared" si="0"/>
        <v>0</v>
      </c>
    </row>
    <row r="42" spans="1:14" x14ac:dyDescent="0.2">
      <c r="A42" s="4" t="s">
        <v>71</v>
      </c>
      <c r="B42" s="4" t="s">
        <v>21</v>
      </c>
      <c r="C42" s="4" t="s">
        <v>22</v>
      </c>
      <c r="D42" s="4">
        <v>287</v>
      </c>
      <c r="E42" s="4">
        <v>279</v>
      </c>
      <c r="F42" s="4">
        <v>60</v>
      </c>
      <c r="G42" s="4">
        <v>146</v>
      </c>
      <c r="H42" s="4">
        <v>772</v>
      </c>
      <c r="I42" s="5">
        <v>98</v>
      </c>
      <c r="J42" s="5">
        <v>172</v>
      </c>
      <c r="K42" s="5">
        <v>0</v>
      </c>
      <c r="L42" s="5">
        <v>0</v>
      </c>
      <c r="M42" s="5">
        <v>270</v>
      </c>
      <c r="N42" s="6">
        <f t="shared" si="0"/>
        <v>0.34974093264248707</v>
      </c>
    </row>
    <row r="43" spans="1:14" x14ac:dyDescent="0.2">
      <c r="A43" s="4" t="s">
        <v>72</v>
      </c>
      <c r="B43" s="4" t="s">
        <v>15</v>
      </c>
      <c r="C43" s="4" t="s">
        <v>22</v>
      </c>
      <c r="D43" s="4">
        <v>209</v>
      </c>
      <c r="E43" s="4">
        <v>277</v>
      </c>
      <c r="F43" s="4">
        <v>0</v>
      </c>
      <c r="G43" s="4">
        <v>0</v>
      </c>
      <c r="H43" s="4">
        <v>486</v>
      </c>
      <c r="I43" s="5">
        <v>40</v>
      </c>
      <c r="J43" s="5">
        <v>202</v>
      </c>
      <c r="K43" s="5">
        <v>14</v>
      </c>
      <c r="L43" s="5">
        <v>31</v>
      </c>
      <c r="M43" s="5">
        <v>287</v>
      </c>
      <c r="N43" s="6">
        <f t="shared" si="0"/>
        <v>0.59053497942386834</v>
      </c>
    </row>
    <row r="44" spans="1:14" x14ac:dyDescent="0.2">
      <c r="A44" s="4" t="s">
        <v>73</v>
      </c>
      <c r="B44" s="4" t="s">
        <v>21</v>
      </c>
      <c r="C44" s="4" t="s">
        <v>32</v>
      </c>
      <c r="D44" s="4" t="s">
        <v>17</v>
      </c>
      <c r="E44" s="4" t="s">
        <v>17</v>
      </c>
      <c r="F44" s="4" t="s">
        <v>17</v>
      </c>
      <c r="G44" s="4" t="s">
        <v>17</v>
      </c>
      <c r="H44" s="4">
        <v>32</v>
      </c>
      <c r="I44" s="5" t="s">
        <v>17</v>
      </c>
      <c r="J44" s="5" t="s">
        <v>17</v>
      </c>
      <c r="K44" s="5" t="s">
        <v>17</v>
      </c>
      <c r="L44" s="5" t="s">
        <v>17</v>
      </c>
      <c r="M44" s="5">
        <v>30</v>
      </c>
      <c r="N44" s="6">
        <f t="shared" si="0"/>
        <v>0.9375</v>
      </c>
    </row>
    <row r="45" spans="1:14" x14ac:dyDescent="0.2">
      <c r="A45" s="4" t="s">
        <v>74</v>
      </c>
      <c r="B45" s="4" t="s">
        <v>21</v>
      </c>
      <c r="C45" s="4" t="s">
        <v>22</v>
      </c>
      <c r="D45" s="4">
        <v>110151</v>
      </c>
      <c r="E45" s="4">
        <v>39</v>
      </c>
      <c r="F45" s="4">
        <v>171873</v>
      </c>
      <c r="G45" s="4">
        <v>162821</v>
      </c>
      <c r="H45" s="4">
        <v>444884</v>
      </c>
      <c r="I45" s="5">
        <v>155490</v>
      </c>
      <c r="J45" s="5">
        <v>0</v>
      </c>
      <c r="K45" s="5">
        <v>157760</v>
      </c>
      <c r="L45" s="5">
        <v>148633</v>
      </c>
      <c r="M45" s="5">
        <v>461883</v>
      </c>
      <c r="N45" s="6">
        <f t="shared" si="0"/>
        <v>1.0382099603492145</v>
      </c>
    </row>
    <row r="46" spans="1:14" x14ac:dyDescent="0.2">
      <c r="A46" s="4" t="s">
        <v>75</v>
      </c>
      <c r="B46" s="4" t="s">
        <v>15</v>
      </c>
      <c r="C46" s="4" t="s">
        <v>22</v>
      </c>
      <c r="D46" s="4">
        <v>1990</v>
      </c>
      <c r="E46" s="4">
        <v>1193</v>
      </c>
      <c r="F46" s="4">
        <v>963</v>
      </c>
      <c r="G46" s="4">
        <v>894</v>
      </c>
      <c r="H46" s="4">
        <v>5040</v>
      </c>
      <c r="I46" s="5">
        <v>322</v>
      </c>
      <c r="J46" s="5">
        <v>288</v>
      </c>
      <c r="K46" s="5">
        <v>316</v>
      </c>
      <c r="L46" s="5">
        <v>274</v>
      </c>
      <c r="M46" s="5">
        <v>1200</v>
      </c>
      <c r="N46" s="6">
        <f t="shared" si="0"/>
        <v>0.23809523809523808</v>
      </c>
    </row>
    <row r="47" spans="1:14" x14ac:dyDescent="0.2">
      <c r="A47" s="4" t="s">
        <v>76</v>
      </c>
      <c r="B47" s="4" t="s">
        <v>15</v>
      </c>
      <c r="C47" s="4" t="s">
        <v>22</v>
      </c>
      <c r="D47" s="4">
        <v>245</v>
      </c>
      <c r="E47" s="4">
        <v>277</v>
      </c>
      <c r="F47" s="4">
        <v>0</v>
      </c>
      <c r="G47" s="4">
        <v>0</v>
      </c>
      <c r="H47" s="4">
        <v>522</v>
      </c>
      <c r="I47" s="5">
        <v>128</v>
      </c>
      <c r="J47" s="5">
        <v>210</v>
      </c>
      <c r="K47" s="5">
        <v>0</v>
      </c>
      <c r="L47" s="5">
        <v>0</v>
      </c>
      <c r="M47" s="5">
        <v>338</v>
      </c>
      <c r="N47" s="6">
        <f t="shared" si="0"/>
        <v>0.64750957854406133</v>
      </c>
    </row>
    <row r="48" spans="1:14" x14ac:dyDescent="0.2">
      <c r="A48" s="4" t="s">
        <v>77</v>
      </c>
      <c r="B48" s="4" t="s">
        <v>15</v>
      </c>
      <c r="C48" s="4" t="s">
        <v>22</v>
      </c>
      <c r="D48" s="4">
        <v>0</v>
      </c>
      <c r="E48" s="4">
        <v>0</v>
      </c>
      <c r="F48" s="4">
        <v>5895</v>
      </c>
      <c r="G48" s="4">
        <v>4491</v>
      </c>
      <c r="H48" s="4">
        <v>10386</v>
      </c>
      <c r="I48" s="5">
        <v>0</v>
      </c>
      <c r="J48" s="5">
        <v>0</v>
      </c>
      <c r="K48" s="5">
        <v>2486</v>
      </c>
      <c r="L48" s="5">
        <v>2404</v>
      </c>
      <c r="M48" s="5">
        <v>4890</v>
      </c>
      <c r="N48" s="6">
        <f t="shared" si="0"/>
        <v>0.4708261120739457</v>
      </c>
    </row>
    <row r="49" spans="1:14" x14ac:dyDescent="0.2">
      <c r="A49" s="4" t="s">
        <v>78</v>
      </c>
      <c r="B49" s="4" t="s">
        <v>15</v>
      </c>
      <c r="C49" s="4" t="s">
        <v>64</v>
      </c>
      <c r="D49" s="4" t="s">
        <v>17</v>
      </c>
      <c r="E49" s="4" t="s">
        <v>17</v>
      </c>
      <c r="F49" s="4" t="s">
        <v>17</v>
      </c>
      <c r="G49" s="4" t="s">
        <v>17</v>
      </c>
      <c r="H49" s="4">
        <v>80</v>
      </c>
      <c r="I49" s="5" t="s">
        <v>17</v>
      </c>
      <c r="J49" s="5" t="s">
        <v>17</v>
      </c>
      <c r="K49" s="5" t="s">
        <v>17</v>
      </c>
      <c r="L49" s="5" t="s">
        <v>17</v>
      </c>
      <c r="M49" s="5">
        <v>0</v>
      </c>
      <c r="N49" s="6">
        <f t="shared" si="0"/>
        <v>0</v>
      </c>
    </row>
    <row r="50" spans="1:14" x14ac:dyDescent="0.2">
      <c r="A50" s="4" t="s">
        <v>79</v>
      </c>
      <c r="B50" s="4" t="s">
        <v>67</v>
      </c>
      <c r="C50" s="4" t="s">
        <v>64</v>
      </c>
      <c r="D50" s="4" t="s">
        <v>17</v>
      </c>
      <c r="E50" s="4" t="s">
        <v>17</v>
      </c>
      <c r="F50" s="4" t="s">
        <v>17</v>
      </c>
      <c r="G50" s="4" t="s">
        <v>17</v>
      </c>
      <c r="H50" s="4">
        <v>80</v>
      </c>
      <c r="I50" s="5" t="s">
        <v>17</v>
      </c>
      <c r="J50" s="5" t="s">
        <v>17</v>
      </c>
      <c r="K50" s="5" t="s">
        <v>17</v>
      </c>
      <c r="L50" s="5" t="s">
        <v>17</v>
      </c>
      <c r="M50" s="5">
        <v>0</v>
      </c>
      <c r="N50" s="6">
        <f t="shared" si="0"/>
        <v>0</v>
      </c>
    </row>
    <row r="51" spans="1:14" x14ac:dyDescent="0.2">
      <c r="A51" s="4" t="s">
        <v>80</v>
      </c>
      <c r="B51" s="4" t="s">
        <v>67</v>
      </c>
      <c r="C51" s="4" t="s">
        <v>81</v>
      </c>
      <c r="D51" s="4" t="s">
        <v>17</v>
      </c>
      <c r="E51" s="4" t="s">
        <v>17</v>
      </c>
      <c r="F51" s="4" t="s">
        <v>17</v>
      </c>
      <c r="G51" s="4" t="s">
        <v>17</v>
      </c>
      <c r="H51" s="4">
        <v>2755</v>
      </c>
      <c r="I51" s="5" t="s">
        <v>17</v>
      </c>
      <c r="J51" s="5" t="s">
        <v>17</v>
      </c>
      <c r="K51" s="5" t="s">
        <v>17</v>
      </c>
      <c r="L51" s="5" t="s">
        <v>17</v>
      </c>
      <c r="M51" s="5">
        <v>0</v>
      </c>
      <c r="N51" s="6">
        <f t="shared" si="0"/>
        <v>0</v>
      </c>
    </row>
    <row r="52" spans="1:14" x14ac:dyDescent="0.2">
      <c r="A52" s="4" t="s">
        <v>82</v>
      </c>
      <c r="B52" s="4" t="s">
        <v>24</v>
      </c>
      <c r="C52" s="4" t="s">
        <v>22</v>
      </c>
      <c r="D52" s="4">
        <v>193773</v>
      </c>
      <c r="E52" s="4">
        <v>162799</v>
      </c>
      <c r="F52" s="4">
        <v>177553</v>
      </c>
      <c r="G52" s="4">
        <v>161385</v>
      </c>
      <c r="H52" s="4">
        <v>695510</v>
      </c>
      <c r="I52" s="5">
        <v>91327</v>
      </c>
      <c r="J52" s="5">
        <v>75153</v>
      </c>
      <c r="K52" s="5">
        <v>72488</v>
      </c>
      <c r="L52" s="5">
        <v>64064</v>
      </c>
      <c r="M52" s="5">
        <v>303032</v>
      </c>
      <c r="N52" s="6">
        <f t="shared" si="0"/>
        <v>0.43569754568589958</v>
      </c>
    </row>
    <row r="53" spans="1:14" x14ac:dyDescent="0.2">
      <c r="A53" s="4" t="s">
        <v>83</v>
      </c>
      <c r="B53" s="4" t="s">
        <v>84</v>
      </c>
      <c r="C53" s="4" t="s">
        <v>85</v>
      </c>
      <c r="D53" s="4" t="s">
        <v>17</v>
      </c>
      <c r="E53" s="4" t="s">
        <v>17</v>
      </c>
      <c r="F53" s="4" t="s">
        <v>17</v>
      </c>
      <c r="G53" s="4" t="s">
        <v>17</v>
      </c>
      <c r="H53" s="4">
        <v>2</v>
      </c>
      <c r="I53" s="5" t="s">
        <v>17</v>
      </c>
      <c r="J53" s="5" t="s">
        <v>17</v>
      </c>
      <c r="K53" s="5" t="s">
        <v>17</v>
      </c>
      <c r="L53" s="5" t="s">
        <v>17</v>
      </c>
      <c r="M53" s="5">
        <v>0</v>
      </c>
      <c r="N53" s="6">
        <f t="shared" si="0"/>
        <v>0</v>
      </c>
    </row>
    <row r="54" spans="1:14" x14ac:dyDescent="0.2">
      <c r="A54" s="4" t="s">
        <v>86</v>
      </c>
      <c r="B54" s="4" t="s">
        <v>84</v>
      </c>
      <c r="C54" s="4" t="s">
        <v>22</v>
      </c>
      <c r="D54" s="4">
        <v>1095</v>
      </c>
      <c r="E54" s="4">
        <v>806</v>
      </c>
      <c r="F54" s="4">
        <v>204</v>
      </c>
      <c r="G54" s="4">
        <v>425</v>
      </c>
      <c r="H54" s="4">
        <v>2530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6">
        <f t="shared" si="0"/>
        <v>0</v>
      </c>
    </row>
    <row r="55" spans="1:14" x14ac:dyDescent="0.2">
      <c r="A55" s="4" t="s">
        <v>87</v>
      </c>
      <c r="B55" s="4" t="s">
        <v>84</v>
      </c>
      <c r="C55" s="4" t="s">
        <v>22</v>
      </c>
      <c r="D55" s="4">
        <v>100</v>
      </c>
      <c r="E55" s="4">
        <v>0</v>
      </c>
      <c r="F55" s="4">
        <v>150</v>
      </c>
      <c r="G55" s="4">
        <v>0</v>
      </c>
      <c r="H55" s="4">
        <v>250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6">
        <f t="shared" si="0"/>
        <v>0</v>
      </c>
    </row>
    <row r="56" spans="1:14" x14ac:dyDescent="0.2">
      <c r="A56" s="4" t="s">
        <v>88</v>
      </c>
      <c r="B56" s="4" t="s">
        <v>15</v>
      </c>
      <c r="C56" s="4" t="s">
        <v>59</v>
      </c>
      <c r="D56" s="4" t="s">
        <v>17</v>
      </c>
      <c r="E56" s="4" t="s">
        <v>17</v>
      </c>
      <c r="F56" s="4" t="s">
        <v>17</v>
      </c>
      <c r="G56" s="4" t="s">
        <v>17</v>
      </c>
      <c r="H56" s="4">
        <v>3736</v>
      </c>
      <c r="I56" s="5" t="s">
        <v>17</v>
      </c>
      <c r="J56" s="5" t="s">
        <v>17</v>
      </c>
      <c r="K56" s="5" t="s">
        <v>17</v>
      </c>
      <c r="L56" s="5" t="s">
        <v>17</v>
      </c>
      <c r="M56" s="5">
        <v>5065</v>
      </c>
      <c r="N56" s="6">
        <f t="shared" si="0"/>
        <v>1.355728051391863</v>
      </c>
    </row>
    <row r="57" spans="1:14" x14ac:dyDescent="0.2">
      <c r="A57" s="4" t="s">
        <v>89</v>
      </c>
      <c r="B57" s="4" t="s">
        <v>15</v>
      </c>
      <c r="C57" s="4" t="s">
        <v>22</v>
      </c>
      <c r="D57" s="4">
        <v>627</v>
      </c>
      <c r="E57" s="4">
        <v>560</v>
      </c>
      <c r="F57" s="4">
        <v>564</v>
      </c>
      <c r="G57" s="4">
        <v>390</v>
      </c>
      <c r="H57" s="4">
        <v>2141</v>
      </c>
      <c r="I57" s="5">
        <v>199</v>
      </c>
      <c r="J57" s="5">
        <v>185</v>
      </c>
      <c r="K57" s="5">
        <v>176</v>
      </c>
      <c r="L57" s="5">
        <v>99</v>
      </c>
      <c r="M57" s="5">
        <v>659</v>
      </c>
      <c r="N57" s="6">
        <f t="shared" si="0"/>
        <v>0.30780009341429238</v>
      </c>
    </row>
    <row r="58" spans="1:14" x14ac:dyDescent="0.2">
      <c r="A58" s="4" t="s">
        <v>90</v>
      </c>
      <c r="B58" s="4" t="s">
        <v>24</v>
      </c>
      <c r="C58" s="4" t="s">
        <v>22</v>
      </c>
      <c r="D58" s="4">
        <v>2923</v>
      </c>
      <c r="E58" s="4">
        <v>1233</v>
      </c>
      <c r="F58" s="4">
        <v>3460</v>
      </c>
      <c r="G58" s="4">
        <v>1667</v>
      </c>
      <c r="H58" s="4">
        <v>9283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6">
        <f t="shared" si="0"/>
        <v>0</v>
      </c>
    </row>
    <row r="59" spans="1:14" x14ac:dyDescent="0.2">
      <c r="A59" s="4" t="s">
        <v>91</v>
      </c>
      <c r="B59" s="4" t="s">
        <v>24</v>
      </c>
      <c r="C59" s="4" t="s">
        <v>22</v>
      </c>
      <c r="D59" s="4">
        <v>1117</v>
      </c>
      <c r="E59" s="4">
        <v>866</v>
      </c>
      <c r="F59" s="4">
        <v>1286</v>
      </c>
      <c r="G59" s="4">
        <v>1153</v>
      </c>
      <c r="H59" s="4">
        <v>4422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6">
        <f t="shared" si="0"/>
        <v>0</v>
      </c>
    </row>
    <row r="60" spans="1:14" x14ac:dyDescent="0.2">
      <c r="A60" s="4" t="s">
        <v>92</v>
      </c>
      <c r="B60" s="4" t="s">
        <v>24</v>
      </c>
      <c r="C60" s="4" t="s">
        <v>22</v>
      </c>
      <c r="D60" s="4">
        <v>2405</v>
      </c>
      <c r="E60" s="4">
        <v>1880</v>
      </c>
      <c r="F60" s="4">
        <v>1414</v>
      </c>
      <c r="G60" s="4">
        <v>1408</v>
      </c>
      <c r="H60" s="4">
        <v>7107</v>
      </c>
      <c r="I60" s="5">
        <v>2623</v>
      </c>
      <c r="J60" s="5">
        <v>1596</v>
      </c>
      <c r="K60" s="5">
        <v>1640</v>
      </c>
      <c r="L60" s="5">
        <v>1538</v>
      </c>
      <c r="M60" s="5">
        <v>7397</v>
      </c>
      <c r="N60" s="6">
        <f t="shared" si="0"/>
        <v>1.0408048402982975</v>
      </c>
    </row>
    <row r="61" spans="1:14" x14ac:dyDescent="0.2">
      <c r="A61" s="4" t="s">
        <v>93</v>
      </c>
      <c r="B61" s="4" t="s">
        <v>24</v>
      </c>
      <c r="C61" s="4" t="s">
        <v>64</v>
      </c>
      <c r="D61" s="4" t="s">
        <v>17</v>
      </c>
      <c r="E61" s="4" t="s">
        <v>17</v>
      </c>
      <c r="F61" s="4" t="s">
        <v>17</v>
      </c>
      <c r="G61" s="4" t="s">
        <v>17</v>
      </c>
      <c r="H61" s="4">
        <v>83.3333333333333</v>
      </c>
      <c r="I61" s="5" t="s">
        <v>17</v>
      </c>
      <c r="J61" s="5" t="s">
        <v>17</v>
      </c>
      <c r="K61" s="5" t="s">
        <v>17</v>
      </c>
      <c r="L61" s="5" t="s">
        <v>17</v>
      </c>
      <c r="M61" s="5">
        <v>0</v>
      </c>
      <c r="N61" s="6">
        <f t="shared" si="0"/>
        <v>0</v>
      </c>
    </row>
    <row r="62" spans="1:14" x14ac:dyDescent="0.2">
      <c r="A62" s="4" t="s">
        <v>94</v>
      </c>
      <c r="B62" s="4" t="s">
        <v>24</v>
      </c>
      <c r="C62" s="4" t="s">
        <v>64</v>
      </c>
      <c r="D62" s="4" t="s">
        <v>17</v>
      </c>
      <c r="E62" s="4" t="s">
        <v>17</v>
      </c>
      <c r="F62" s="4" t="s">
        <v>17</v>
      </c>
      <c r="G62" s="4" t="s">
        <v>17</v>
      </c>
      <c r="H62" s="4">
        <v>75</v>
      </c>
      <c r="I62" s="5" t="s">
        <v>17</v>
      </c>
      <c r="J62" s="5" t="s">
        <v>17</v>
      </c>
      <c r="K62" s="5" t="s">
        <v>17</v>
      </c>
      <c r="L62" s="5" t="s">
        <v>17</v>
      </c>
      <c r="M62" s="5">
        <v>45.5</v>
      </c>
      <c r="N62" s="6">
        <f t="shared" si="0"/>
        <v>0.60666666666666669</v>
      </c>
    </row>
    <row r="63" spans="1:14" x14ac:dyDescent="0.2">
      <c r="A63" s="4" t="s">
        <v>95</v>
      </c>
      <c r="B63" s="4" t="s">
        <v>35</v>
      </c>
      <c r="C63" s="4" t="s">
        <v>96</v>
      </c>
      <c r="D63" s="4" t="s">
        <v>17</v>
      </c>
      <c r="E63" s="4" t="s">
        <v>17</v>
      </c>
      <c r="F63" s="4" t="s">
        <v>17</v>
      </c>
      <c r="G63" s="4" t="s">
        <v>17</v>
      </c>
      <c r="H63" s="4">
        <v>2432</v>
      </c>
      <c r="I63" s="5" t="s">
        <v>17</v>
      </c>
      <c r="J63" s="5" t="s">
        <v>17</v>
      </c>
      <c r="K63" s="5" t="s">
        <v>17</v>
      </c>
      <c r="L63" s="5" t="s">
        <v>17</v>
      </c>
      <c r="M63" s="5">
        <v>158</v>
      </c>
      <c r="N63" s="6">
        <f t="shared" si="0"/>
        <v>6.4967105263157895E-2</v>
      </c>
    </row>
    <row r="64" spans="1:14" x14ac:dyDescent="0.2">
      <c r="A64" s="4" t="s">
        <v>97</v>
      </c>
      <c r="B64" s="4" t="s">
        <v>35</v>
      </c>
      <c r="C64" s="4" t="s">
        <v>96</v>
      </c>
      <c r="D64" s="4" t="s">
        <v>17</v>
      </c>
      <c r="E64" s="4" t="s">
        <v>17</v>
      </c>
      <c r="F64" s="4" t="s">
        <v>17</v>
      </c>
      <c r="G64" s="4" t="s">
        <v>17</v>
      </c>
      <c r="H64" s="4">
        <v>1101</v>
      </c>
      <c r="I64" s="5" t="s">
        <v>17</v>
      </c>
      <c r="J64" s="5" t="s">
        <v>17</v>
      </c>
      <c r="K64" s="5" t="s">
        <v>17</v>
      </c>
      <c r="L64" s="5" t="s">
        <v>17</v>
      </c>
      <c r="M64" s="5">
        <v>524</v>
      </c>
      <c r="N64" s="6">
        <f t="shared" si="0"/>
        <v>0.47593097184377836</v>
      </c>
    </row>
    <row r="65" spans="1:14" x14ac:dyDescent="0.2">
      <c r="A65" s="4" t="s">
        <v>98</v>
      </c>
      <c r="B65" s="4" t="s">
        <v>35</v>
      </c>
      <c r="C65" s="4" t="s">
        <v>64</v>
      </c>
      <c r="D65" s="4" t="s">
        <v>17</v>
      </c>
      <c r="E65" s="4" t="s">
        <v>17</v>
      </c>
      <c r="F65" s="4" t="s">
        <v>17</v>
      </c>
      <c r="G65" s="4" t="s">
        <v>17</v>
      </c>
      <c r="H65" s="4">
        <v>75</v>
      </c>
      <c r="I65" s="5" t="s">
        <v>17</v>
      </c>
      <c r="J65" s="5" t="s">
        <v>17</v>
      </c>
      <c r="K65" s="5" t="s">
        <v>17</v>
      </c>
      <c r="L65" s="5" t="s">
        <v>17</v>
      </c>
      <c r="M65" s="5">
        <v>30.75</v>
      </c>
      <c r="N65" s="6">
        <f t="shared" si="0"/>
        <v>0.41</v>
      </c>
    </row>
    <row r="66" spans="1:14" x14ac:dyDescent="0.2">
      <c r="A66" s="4" t="s">
        <v>99</v>
      </c>
      <c r="B66" s="4" t="s">
        <v>35</v>
      </c>
      <c r="C66" s="4" t="s">
        <v>64</v>
      </c>
      <c r="D66" s="4" t="s">
        <v>17</v>
      </c>
      <c r="E66" s="4" t="s">
        <v>17</v>
      </c>
      <c r="F66" s="4" t="s">
        <v>17</v>
      </c>
      <c r="G66" s="4" t="s">
        <v>17</v>
      </c>
      <c r="H66" s="4">
        <v>67.2</v>
      </c>
      <c r="I66" s="5" t="s">
        <v>17</v>
      </c>
      <c r="J66" s="5" t="s">
        <v>17</v>
      </c>
      <c r="K66" s="5" t="s">
        <v>17</v>
      </c>
      <c r="L66" s="5" t="s">
        <v>17</v>
      </c>
      <c r="M66" s="5">
        <v>37.6</v>
      </c>
      <c r="N66" s="6">
        <f t="shared" si="0"/>
        <v>0.55952380952380953</v>
      </c>
    </row>
    <row r="67" spans="1:14" x14ac:dyDescent="0.2">
      <c r="A67" s="4" t="s">
        <v>100</v>
      </c>
      <c r="B67" s="4" t="s">
        <v>35</v>
      </c>
      <c r="C67" s="4" t="s">
        <v>22</v>
      </c>
      <c r="D67" s="4">
        <v>15071</v>
      </c>
      <c r="E67" s="4">
        <v>11506</v>
      </c>
      <c r="F67" s="4">
        <v>16933</v>
      </c>
      <c r="G67" s="4">
        <v>14166</v>
      </c>
      <c r="H67" s="4">
        <v>57676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f t="shared" ref="N67:N122" si="1">M67/H67</f>
        <v>0</v>
      </c>
    </row>
    <row r="68" spans="1:14" x14ac:dyDescent="0.2">
      <c r="A68" s="4" t="s">
        <v>101</v>
      </c>
      <c r="B68" s="4" t="s">
        <v>35</v>
      </c>
      <c r="C68" s="4" t="s">
        <v>22</v>
      </c>
      <c r="D68" s="4">
        <v>111029</v>
      </c>
      <c r="E68" s="4">
        <v>84495</v>
      </c>
      <c r="F68" s="4">
        <v>95920</v>
      </c>
      <c r="G68" s="4">
        <v>89227</v>
      </c>
      <c r="H68" s="4">
        <v>380671</v>
      </c>
      <c r="I68" s="5">
        <v>72887</v>
      </c>
      <c r="J68" s="5">
        <v>58321</v>
      </c>
      <c r="K68" s="5">
        <v>69042</v>
      </c>
      <c r="L68" s="5">
        <v>59410</v>
      </c>
      <c r="M68" s="5">
        <v>259660</v>
      </c>
      <c r="N68" s="6">
        <f t="shared" si="1"/>
        <v>0.68211132447704181</v>
      </c>
    </row>
    <row r="69" spans="1:14" x14ac:dyDescent="0.2">
      <c r="A69" s="4" t="s">
        <v>102</v>
      </c>
      <c r="B69" s="4" t="s">
        <v>35</v>
      </c>
      <c r="C69" s="4" t="s">
        <v>103</v>
      </c>
      <c r="D69" s="4" t="s">
        <v>17</v>
      </c>
      <c r="E69" s="4" t="s">
        <v>17</v>
      </c>
      <c r="F69" s="4" t="s">
        <v>17</v>
      </c>
      <c r="G69" s="4" t="s">
        <v>17</v>
      </c>
      <c r="H69" s="4">
        <v>51224</v>
      </c>
      <c r="I69" s="5" t="s">
        <v>17</v>
      </c>
      <c r="J69" s="5" t="s">
        <v>17</v>
      </c>
      <c r="K69" s="5" t="s">
        <v>17</v>
      </c>
      <c r="L69" s="5" t="s">
        <v>17</v>
      </c>
      <c r="M69" s="5">
        <v>20467</v>
      </c>
      <c r="N69" s="6">
        <f t="shared" si="1"/>
        <v>0.39955880056223647</v>
      </c>
    </row>
    <row r="70" spans="1:14" x14ac:dyDescent="0.2">
      <c r="A70" s="4" t="s">
        <v>104</v>
      </c>
      <c r="B70" s="4" t="s">
        <v>35</v>
      </c>
      <c r="C70" s="4" t="s">
        <v>64</v>
      </c>
      <c r="D70" s="4" t="s">
        <v>17</v>
      </c>
      <c r="E70" s="4" t="s">
        <v>17</v>
      </c>
      <c r="F70" s="4" t="s">
        <v>17</v>
      </c>
      <c r="G70" s="4" t="s">
        <v>17</v>
      </c>
      <c r="H70" s="4">
        <v>80</v>
      </c>
      <c r="I70" s="5" t="s">
        <v>17</v>
      </c>
      <c r="J70" s="5" t="s">
        <v>17</v>
      </c>
      <c r="K70" s="5" t="s">
        <v>17</v>
      </c>
      <c r="L70" s="5" t="s">
        <v>17</v>
      </c>
      <c r="M70" s="5">
        <v>32.75</v>
      </c>
      <c r="N70" s="6">
        <f t="shared" si="1"/>
        <v>0.40937499999999999</v>
      </c>
    </row>
    <row r="71" spans="1:14" x14ac:dyDescent="0.2">
      <c r="A71" s="4" t="s">
        <v>105</v>
      </c>
      <c r="B71" s="4" t="s">
        <v>29</v>
      </c>
      <c r="C71" s="4" t="s">
        <v>106</v>
      </c>
      <c r="D71" s="4" t="s">
        <v>17</v>
      </c>
      <c r="E71" s="4" t="s">
        <v>17</v>
      </c>
      <c r="F71" s="4" t="s">
        <v>17</v>
      </c>
      <c r="G71" s="4" t="s">
        <v>17</v>
      </c>
      <c r="H71" s="4">
        <v>5761</v>
      </c>
      <c r="I71" s="5" t="s">
        <v>17</v>
      </c>
      <c r="J71" s="5" t="s">
        <v>17</v>
      </c>
      <c r="K71" s="5" t="s">
        <v>17</v>
      </c>
      <c r="L71" s="5" t="s">
        <v>17</v>
      </c>
      <c r="M71" s="5">
        <v>1326</v>
      </c>
      <c r="N71" s="6">
        <f t="shared" si="1"/>
        <v>0.23016837354625932</v>
      </c>
    </row>
    <row r="72" spans="1:14" x14ac:dyDescent="0.2">
      <c r="A72" s="4" t="s">
        <v>107</v>
      </c>
      <c r="B72" s="4" t="s">
        <v>24</v>
      </c>
      <c r="C72" s="4" t="s">
        <v>108</v>
      </c>
      <c r="D72" s="4" t="s">
        <v>17</v>
      </c>
      <c r="E72" s="4" t="s">
        <v>17</v>
      </c>
      <c r="F72" s="4" t="s">
        <v>17</v>
      </c>
      <c r="G72" s="4" t="s">
        <v>17</v>
      </c>
      <c r="H72" s="4">
        <v>2510</v>
      </c>
      <c r="I72" s="5" t="s">
        <v>17</v>
      </c>
      <c r="J72" s="5" t="s">
        <v>17</v>
      </c>
      <c r="K72" s="5" t="s">
        <v>17</v>
      </c>
      <c r="L72" s="5" t="s">
        <v>17</v>
      </c>
      <c r="M72" s="5">
        <v>2</v>
      </c>
      <c r="N72" s="6">
        <f t="shared" si="1"/>
        <v>7.9681274900398409E-4</v>
      </c>
    </row>
    <row r="73" spans="1:14" x14ac:dyDescent="0.2">
      <c r="A73" s="4" t="s">
        <v>109</v>
      </c>
      <c r="B73" s="4" t="s">
        <v>84</v>
      </c>
      <c r="C73" s="4" t="s">
        <v>22</v>
      </c>
      <c r="D73" s="4">
        <v>2006</v>
      </c>
      <c r="E73" s="4">
        <v>1485</v>
      </c>
      <c r="F73" s="4">
        <v>883</v>
      </c>
      <c r="G73" s="4">
        <v>442</v>
      </c>
      <c r="H73" s="4">
        <v>4816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>
        <f t="shared" si="1"/>
        <v>0</v>
      </c>
    </row>
    <row r="74" spans="1:14" x14ac:dyDescent="0.2">
      <c r="A74" s="4" t="s">
        <v>110</v>
      </c>
      <c r="B74" s="4" t="s">
        <v>29</v>
      </c>
      <c r="C74" s="4" t="s">
        <v>32</v>
      </c>
      <c r="D74" s="4" t="s">
        <v>17</v>
      </c>
      <c r="E74" s="4" t="s">
        <v>17</v>
      </c>
      <c r="F74" s="4" t="s">
        <v>17</v>
      </c>
      <c r="G74" s="4" t="s">
        <v>17</v>
      </c>
      <c r="H74" s="4">
        <v>17</v>
      </c>
      <c r="I74" s="5" t="s">
        <v>17</v>
      </c>
      <c r="J74" s="5" t="s">
        <v>17</v>
      </c>
      <c r="K74" s="5" t="s">
        <v>17</v>
      </c>
      <c r="L74" s="5" t="s">
        <v>17</v>
      </c>
      <c r="M74" s="5">
        <v>9</v>
      </c>
      <c r="N74" s="6">
        <f t="shared" si="1"/>
        <v>0.52941176470588236</v>
      </c>
    </row>
    <row r="75" spans="1:14" x14ac:dyDescent="0.2">
      <c r="A75" s="4" t="s">
        <v>111</v>
      </c>
      <c r="B75" s="4" t="s">
        <v>29</v>
      </c>
      <c r="C75" s="4" t="s">
        <v>64</v>
      </c>
      <c r="D75" s="4" t="s">
        <v>17</v>
      </c>
      <c r="E75" s="4" t="s">
        <v>17</v>
      </c>
      <c r="F75" s="4" t="s">
        <v>17</v>
      </c>
      <c r="G75" s="4" t="s">
        <v>17</v>
      </c>
      <c r="H75" s="4">
        <v>87.5</v>
      </c>
      <c r="I75" s="5" t="s">
        <v>17</v>
      </c>
      <c r="J75" s="5" t="s">
        <v>17</v>
      </c>
      <c r="K75" s="5" t="s">
        <v>17</v>
      </c>
      <c r="L75" s="5" t="s">
        <v>17</v>
      </c>
      <c r="M75" s="5">
        <v>25</v>
      </c>
      <c r="N75" s="6">
        <f t="shared" si="1"/>
        <v>0.2857142857142857</v>
      </c>
    </row>
    <row r="76" spans="1:14" x14ac:dyDescent="0.2">
      <c r="A76" s="4" t="s">
        <v>112</v>
      </c>
      <c r="B76" s="4" t="s">
        <v>29</v>
      </c>
      <c r="C76" s="4" t="s">
        <v>64</v>
      </c>
      <c r="D76" s="4" t="s">
        <v>17</v>
      </c>
      <c r="E76" s="4" t="s">
        <v>17</v>
      </c>
      <c r="F76" s="4" t="s">
        <v>17</v>
      </c>
      <c r="G76" s="4" t="s">
        <v>17</v>
      </c>
      <c r="H76" s="4">
        <v>79.375</v>
      </c>
      <c r="I76" s="5" t="s">
        <v>17</v>
      </c>
      <c r="J76" s="5" t="s">
        <v>17</v>
      </c>
      <c r="K76" s="5" t="s">
        <v>17</v>
      </c>
      <c r="L76" s="5" t="s">
        <v>17</v>
      </c>
      <c r="M76" s="5">
        <v>22.5</v>
      </c>
      <c r="N76" s="6">
        <f t="shared" si="1"/>
        <v>0.28346456692913385</v>
      </c>
    </row>
    <row r="77" spans="1:14" x14ac:dyDescent="0.2">
      <c r="A77" s="4" t="s">
        <v>113</v>
      </c>
      <c r="B77" s="4" t="s">
        <v>29</v>
      </c>
      <c r="C77" s="4" t="s">
        <v>64</v>
      </c>
      <c r="D77" s="4" t="s">
        <v>17</v>
      </c>
      <c r="E77" s="4" t="s">
        <v>17</v>
      </c>
      <c r="F77" s="4" t="s">
        <v>17</v>
      </c>
      <c r="G77" s="4" t="s">
        <v>17</v>
      </c>
      <c r="H77" s="4">
        <v>85</v>
      </c>
      <c r="I77" s="5" t="s">
        <v>17</v>
      </c>
      <c r="J77" s="5" t="s">
        <v>17</v>
      </c>
      <c r="K77" s="5" t="s">
        <v>17</v>
      </c>
      <c r="L77" s="5" t="s">
        <v>17</v>
      </c>
      <c r="M77" s="5">
        <v>30</v>
      </c>
      <c r="N77" s="6">
        <f t="shared" si="1"/>
        <v>0.35294117647058826</v>
      </c>
    </row>
    <row r="78" spans="1:14" x14ac:dyDescent="0.2">
      <c r="A78" s="4" t="s">
        <v>114</v>
      </c>
      <c r="B78" s="4" t="s">
        <v>29</v>
      </c>
      <c r="C78" s="4" t="s">
        <v>64</v>
      </c>
      <c r="D78" s="4" t="s">
        <v>17</v>
      </c>
      <c r="E78" s="4" t="s">
        <v>17</v>
      </c>
      <c r="F78" s="4" t="s">
        <v>17</v>
      </c>
      <c r="G78" s="4" t="s">
        <v>17</v>
      </c>
      <c r="H78" s="4">
        <v>82.25</v>
      </c>
      <c r="I78" s="5" t="s">
        <v>17</v>
      </c>
      <c r="J78" s="5" t="s">
        <v>17</v>
      </c>
      <c r="K78" s="5" t="s">
        <v>17</v>
      </c>
      <c r="L78" s="5" t="s">
        <v>17</v>
      </c>
      <c r="M78" s="5">
        <v>40.5</v>
      </c>
      <c r="N78" s="6">
        <f t="shared" si="1"/>
        <v>0.49240121580547114</v>
      </c>
    </row>
    <row r="79" spans="1:14" x14ac:dyDescent="0.2">
      <c r="A79" s="4" t="s">
        <v>115</v>
      </c>
      <c r="B79" s="4" t="s">
        <v>35</v>
      </c>
      <c r="C79" s="4" t="s">
        <v>32</v>
      </c>
      <c r="D79" s="4" t="s">
        <v>17</v>
      </c>
      <c r="E79" s="4" t="s">
        <v>17</v>
      </c>
      <c r="F79" s="4" t="s">
        <v>17</v>
      </c>
      <c r="G79" s="4" t="s">
        <v>17</v>
      </c>
      <c r="H79" s="4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>
        <v>11</v>
      </c>
      <c r="N79" s="6">
        <f t="shared" si="1"/>
        <v>0.6470588235294118</v>
      </c>
    </row>
    <row r="80" spans="1:14" x14ac:dyDescent="0.2">
      <c r="A80" s="4" t="s">
        <v>116</v>
      </c>
      <c r="B80" s="4" t="s">
        <v>24</v>
      </c>
      <c r="C80" s="4" t="s">
        <v>117</v>
      </c>
      <c r="D80" s="4" t="s">
        <v>17</v>
      </c>
      <c r="E80" s="4" t="s">
        <v>17</v>
      </c>
      <c r="F80" s="4" t="s">
        <v>17</v>
      </c>
      <c r="G80" s="4" t="s">
        <v>17</v>
      </c>
      <c r="H80" s="4">
        <v>21</v>
      </c>
      <c r="I80" s="5" t="s">
        <v>17</v>
      </c>
      <c r="J80" s="5" t="s">
        <v>17</v>
      </c>
      <c r="K80" s="5" t="s">
        <v>17</v>
      </c>
      <c r="L80" s="5" t="s">
        <v>17</v>
      </c>
      <c r="M80" s="5">
        <v>10</v>
      </c>
      <c r="N80" s="6">
        <f t="shared" si="1"/>
        <v>0.47619047619047616</v>
      </c>
    </row>
    <row r="81" spans="1:14" x14ac:dyDescent="0.2">
      <c r="A81" s="4" t="s">
        <v>118</v>
      </c>
      <c r="B81" s="4" t="s">
        <v>84</v>
      </c>
      <c r="C81" s="4" t="s">
        <v>22</v>
      </c>
      <c r="D81" s="4">
        <v>2472</v>
      </c>
      <c r="E81" s="4">
        <v>618</v>
      </c>
      <c r="F81" s="4">
        <v>1854</v>
      </c>
      <c r="G81" s="4">
        <v>1236</v>
      </c>
      <c r="H81" s="4">
        <v>6180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6">
        <f t="shared" si="1"/>
        <v>0</v>
      </c>
    </row>
    <row r="82" spans="1:14" x14ac:dyDescent="0.2">
      <c r="A82" s="4" t="s">
        <v>119</v>
      </c>
      <c r="B82" s="4" t="s">
        <v>84</v>
      </c>
      <c r="C82" s="4" t="s">
        <v>85</v>
      </c>
      <c r="D82" s="4" t="s">
        <v>17</v>
      </c>
      <c r="E82" s="4" t="s">
        <v>17</v>
      </c>
      <c r="F82" s="4" t="s">
        <v>17</v>
      </c>
      <c r="G82" s="4" t="s">
        <v>17</v>
      </c>
      <c r="H82" s="4">
        <v>54</v>
      </c>
      <c r="I82" s="5" t="s">
        <v>17</v>
      </c>
      <c r="J82" s="5" t="s">
        <v>17</v>
      </c>
      <c r="K82" s="5" t="s">
        <v>17</v>
      </c>
      <c r="L82" s="5" t="s">
        <v>17</v>
      </c>
      <c r="M82" s="5">
        <v>0</v>
      </c>
      <c r="N82" s="6">
        <f t="shared" si="1"/>
        <v>0</v>
      </c>
    </row>
    <row r="83" spans="1:14" x14ac:dyDescent="0.2">
      <c r="A83" s="4" t="s">
        <v>120</v>
      </c>
      <c r="B83" s="4" t="s">
        <v>29</v>
      </c>
      <c r="C83" s="4" t="s">
        <v>64</v>
      </c>
      <c r="D83" s="4" t="s">
        <v>17</v>
      </c>
      <c r="E83" s="4" t="s">
        <v>17</v>
      </c>
      <c r="F83" s="4" t="s">
        <v>17</v>
      </c>
      <c r="G83" s="4" t="s">
        <v>17</v>
      </c>
      <c r="H83" s="4">
        <v>77.5</v>
      </c>
      <c r="I83" s="5" t="s">
        <v>17</v>
      </c>
      <c r="J83" s="5" t="s">
        <v>17</v>
      </c>
      <c r="K83" s="5" t="s">
        <v>17</v>
      </c>
      <c r="L83" s="5" t="s">
        <v>17</v>
      </c>
      <c r="M83" s="5">
        <v>0</v>
      </c>
      <c r="N83" s="6">
        <f t="shared" si="1"/>
        <v>0</v>
      </c>
    </row>
    <row r="84" spans="1:14" x14ac:dyDescent="0.2">
      <c r="A84" s="4" t="s">
        <v>121</v>
      </c>
      <c r="B84" s="4" t="s">
        <v>29</v>
      </c>
      <c r="C84" s="4" t="s">
        <v>64</v>
      </c>
      <c r="D84" s="4" t="s">
        <v>17</v>
      </c>
      <c r="E84" s="4" t="s">
        <v>17</v>
      </c>
      <c r="F84" s="4" t="s">
        <v>17</v>
      </c>
      <c r="G84" s="4" t="s">
        <v>17</v>
      </c>
      <c r="H84" s="4">
        <v>80</v>
      </c>
      <c r="I84" s="5" t="s">
        <v>17</v>
      </c>
      <c r="J84" s="5" t="s">
        <v>17</v>
      </c>
      <c r="K84" s="5" t="s">
        <v>17</v>
      </c>
      <c r="L84" s="5" t="s">
        <v>17</v>
      </c>
      <c r="M84" s="5">
        <v>0</v>
      </c>
      <c r="N84" s="6">
        <f t="shared" si="1"/>
        <v>0</v>
      </c>
    </row>
    <row r="85" spans="1:14" x14ac:dyDescent="0.2">
      <c r="A85" s="4" t="s">
        <v>122</v>
      </c>
      <c r="B85" s="4" t="s">
        <v>123</v>
      </c>
      <c r="C85" s="4" t="s">
        <v>22</v>
      </c>
      <c r="D85" s="4">
        <v>1600</v>
      </c>
      <c r="E85" s="4">
        <v>1080</v>
      </c>
      <c r="F85" s="4">
        <v>1670</v>
      </c>
      <c r="G85" s="4">
        <v>1750</v>
      </c>
      <c r="H85" s="4">
        <v>6100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6">
        <f t="shared" si="1"/>
        <v>0</v>
      </c>
    </row>
    <row r="86" spans="1:14" x14ac:dyDescent="0.2">
      <c r="A86" s="4" t="s">
        <v>124</v>
      </c>
      <c r="B86" s="4" t="s">
        <v>123</v>
      </c>
      <c r="C86" s="4" t="s">
        <v>32</v>
      </c>
      <c r="D86" s="4" t="s">
        <v>17</v>
      </c>
      <c r="E86" s="4" t="s">
        <v>17</v>
      </c>
      <c r="F86" s="4" t="s">
        <v>17</v>
      </c>
      <c r="G86" s="4" t="s">
        <v>17</v>
      </c>
      <c r="H86" s="4">
        <v>3</v>
      </c>
      <c r="I86" s="5" t="s">
        <v>17</v>
      </c>
      <c r="J86" s="5" t="s">
        <v>17</v>
      </c>
      <c r="K86" s="5" t="s">
        <v>17</v>
      </c>
      <c r="L86" s="5" t="s">
        <v>17</v>
      </c>
      <c r="M86" s="5">
        <v>0</v>
      </c>
      <c r="N86" s="6">
        <f t="shared" si="1"/>
        <v>0</v>
      </c>
    </row>
    <row r="87" spans="1:14" x14ac:dyDescent="0.2">
      <c r="A87" s="4" t="s">
        <v>125</v>
      </c>
      <c r="B87" s="4" t="s">
        <v>24</v>
      </c>
      <c r="C87" s="4" t="s">
        <v>22</v>
      </c>
      <c r="D87" s="4">
        <v>6319</v>
      </c>
      <c r="E87" s="4">
        <v>6042</v>
      </c>
      <c r="F87" s="4">
        <v>8717</v>
      </c>
      <c r="G87" s="4">
        <v>9176</v>
      </c>
      <c r="H87" s="4">
        <v>30254</v>
      </c>
      <c r="I87" s="5">
        <v>3661</v>
      </c>
      <c r="J87" s="5">
        <v>2467</v>
      </c>
      <c r="K87" s="5">
        <v>7577</v>
      </c>
      <c r="L87" s="5">
        <v>7394</v>
      </c>
      <c r="M87" s="5">
        <v>21099</v>
      </c>
      <c r="N87" s="6">
        <f t="shared" si="1"/>
        <v>0.69739538573411786</v>
      </c>
    </row>
    <row r="88" spans="1:14" x14ac:dyDescent="0.2">
      <c r="A88" s="4" t="s">
        <v>126</v>
      </c>
      <c r="B88" s="4" t="s">
        <v>24</v>
      </c>
      <c r="C88" s="4" t="s">
        <v>127</v>
      </c>
      <c r="D88" s="4" t="s">
        <v>17</v>
      </c>
      <c r="E88" s="4" t="s">
        <v>17</v>
      </c>
      <c r="F88" s="4" t="s">
        <v>17</v>
      </c>
      <c r="G88" s="4" t="s">
        <v>17</v>
      </c>
      <c r="H88" s="4">
        <v>230</v>
      </c>
      <c r="I88" s="5" t="s">
        <v>17</v>
      </c>
      <c r="J88" s="5" t="s">
        <v>17</v>
      </c>
      <c r="K88" s="5" t="s">
        <v>17</v>
      </c>
      <c r="L88" s="5" t="s">
        <v>17</v>
      </c>
      <c r="M88" s="5">
        <v>201</v>
      </c>
      <c r="N88" s="6">
        <f t="shared" si="1"/>
        <v>0.87391304347826082</v>
      </c>
    </row>
    <row r="89" spans="1:14" x14ac:dyDescent="0.2">
      <c r="A89" s="4" t="s">
        <v>128</v>
      </c>
      <c r="B89" s="4" t="s">
        <v>15</v>
      </c>
      <c r="C89" s="4" t="s">
        <v>22</v>
      </c>
      <c r="D89" s="4">
        <v>300</v>
      </c>
      <c r="E89" s="4">
        <v>400</v>
      </c>
      <c r="F89" s="4">
        <v>100</v>
      </c>
      <c r="G89" s="4">
        <v>200</v>
      </c>
      <c r="H89" s="4">
        <v>1000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>
        <f t="shared" si="1"/>
        <v>0</v>
      </c>
    </row>
    <row r="90" spans="1:14" x14ac:dyDescent="0.2">
      <c r="A90" s="4" t="s">
        <v>129</v>
      </c>
      <c r="B90" s="4" t="s">
        <v>29</v>
      </c>
      <c r="C90" s="4" t="s">
        <v>22</v>
      </c>
      <c r="D90" s="4">
        <v>69</v>
      </c>
      <c r="E90" s="4">
        <v>82</v>
      </c>
      <c r="F90" s="4">
        <v>0</v>
      </c>
      <c r="G90" s="4">
        <v>0</v>
      </c>
      <c r="H90" s="4">
        <v>151</v>
      </c>
      <c r="I90" s="5">
        <v>35</v>
      </c>
      <c r="J90" s="5">
        <v>41</v>
      </c>
      <c r="K90" s="5">
        <v>0</v>
      </c>
      <c r="L90" s="5">
        <v>0</v>
      </c>
      <c r="M90" s="5">
        <v>76</v>
      </c>
      <c r="N90" s="6">
        <f t="shared" si="1"/>
        <v>0.50331125827814571</v>
      </c>
    </row>
    <row r="91" spans="1:14" x14ac:dyDescent="0.2">
      <c r="A91" s="4" t="s">
        <v>130</v>
      </c>
      <c r="B91" s="4" t="s">
        <v>21</v>
      </c>
      <c r="C91" s="4" t="s">
        <v>22</v>
      </c>
      <c r="D91" s="4">
        <v>1839</v>
      </c>
      <c r="E91" s="4">
        <v>114</v>
      </c>
      <c r="F91" s="4">
        <v>4002</v>
      </c>
      <c r="G91" s="4">
        <v>3706</v>
      </c>
      <c r="H91" s="4">
        <v>9661</v>
      </c>
      <c r="I91" s="5">
        <v>191</v>
      </c>
      <c r="J91" s="5">
        <v>72</v>
      </c>
      <c r="K91" s="5">
        <v>0</v>
      </c>
      <c r="L91" s="5">
        <v>0</v>
      </c>
      <c r="M91" s="5">
        <v>263</v>
      </c>
      <c r="N91" s="6">
        <f t="shared" si="1"/>
        <v>2.7222854776938206E-2</v>
      </c>
    </row>
    <row r="92" spans="1:14" x14ac:dyDescent="0.2">
      <c r="A92" s="4" t="s">
        <v>131</v>
      </c>
      <c r="B92" s="4" t="s">
        <v>84</v>
      </c>
      <c r="C92" s="4" t="s">
        <v>132</v>
      </c>
      <c r="D92" s="4" t="s">
        <v>17</v>
      </c>
      <c r="E92" s="4" t="s">
        <v>17</v>
      </c>
      <c r="F92" s="4" t="s">
        <v>17</v>
      </c>
      <c r="G92" s="4" t="s">
        <v>17</v>
      </c>
      <c r="H92" s="4">
        <v>4</v>
      </c>
      <c r="I92" s="5" t="s">
        <v>17</v>
      </c>
      <c r="J92" s="5" t="s">
        <v>17</v>
      </c>
      <c r="K92" s="5" t="s">
        <v>17</v>
      </c>
      <c r="L92" s="5" t="s">
        <v>17</v>
      </c>
      <c r="M92" s="5">
        <v>0</v>
      </c>
      <c r="N92" s="6">
        <f t="shared" si="1"/>
        <v>0</v>
      </c>
    </row>
    <row r="93" spans="1:14" x14ac:dyDescent="0.2">
      <c r="A93" s="4" t="s">
        <v>133</v>
      </c>
      <c r="B93" s="4" t="s">
        <v>84</v>
      </c>
      <c r="C93" s="4" t="s">
        <v>64</v>
      </c>
      <c r="D93" s="4" t="s">
        <v>17</v>
      </c>
      <c r="E93" s="4" t="s">
        <v>17</v>
      </c>
      <c r="F93" s="4" t="s">
        <v>17</v>
      </c>
      <c r="G93" s="4" t="s">
        <v>17</v>
      </c>
      <c r="H93" s="4">
        <v>80</v>
      </c>
      <c r="I93" s="5" t="s">
        <v>17</v>
      </c>
      <c r="J93" s="5" t="s">
        <v>17</v>
      </c>
      <c r="K93" s="5" t="s">
        <v>17</v>
      </c>
      <c r="L93" s="5" t="s">
        <v>17</v>
      </c>
      <c r="M93" s="5">
        <v>0</v>
      </c>
      <c r="N93" s="6">
        <f t="shared" si="1"/>
        <v>0</v>
      </c>
    </row>
    <row r="94" spans="1:14" x14ac:dyDescent="0.2">
      <c r="A94" s="4" t="s">
        <v>134</v>
      </c>
      <c r="B94" s="4" t="s">
        <v>21</v>
      </c>
      <c r="C94" s="4" t="s">
        <v>22</v>
      </c>
      <c r="D94" s="4">
        <v>2932</v>
      </c>
      <c r="E94" s="4">
        <v>0</v>
      </c>
      <c r="F94" s="4">
        <v>3387</v>
      </c>
      <c r="G94" s="4">
        <v>3250</v>
      </c>
      <c r="H94" s="4">
        <v>9569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6">
        <f t="shared" si="1"/>
        <v>0</v>
      </c>
    </row>
    <row r="95" spans="1:14" x14ac:dyDescent="0.2">
      <c r="A95" s="4" t="s">
        <v>135</v>
      </c>
      <c r="B95" s="4" t="s">
        <v>21</v>
      </c>
      <c r="C95" s="4" t="s">
        <v>64</v>
      </c>
      <c r="D95" s="4" t="s">
        <v>17</v>
      </c>
      <c r="E95" s="4" t="s">
        <v>17</v>
      </c>
      <c r="F95" s="4" t="s">
        <v>17</v>
      </c>
      <c r="G95" s="4" t="s">
        <v>17</v>
      </c>
      <c r="H95" s="4">
        <v>80</v>
      </c>
      <c r="I95" s="5" t="s">
        <v>17</v>
      </c>
      <c r="J95" s="5" t="s">
        <v>17</v>
      </c>
      <c r="K95" s="5" t="s">
        <v>17</v>
      </c>
      <c r="L95" s="5" t="s">
        <v>17</v>
      </c>
      <c r="M95" s="5">
        <v>0</v>
      </c>
      <c r="N95" s="6">
        <f t="shared" si="1"/>
        <v>0</v>
      </c>
    </row>
    <row r="96" spans="1:14" x14ac:dyDescent="0.2">
      <c r="A96" s="4" t="s">
        <v>136</v>
      </c>
      <c r="B96" s="4" t="s">
        <v>24</v>
      </c>
      <c r="C96" s="4" t="s">
        <v>117</v>
      </c>
      <c r="D96" s="4" t="s">
        <v>17</v>
      </c>
      <c r="E96" s="4" t="s">
        <v>17</v>
      </c>
      <c r="F96" s="4" t="s">
        <v>17</v>
      </c>
      <c r="G96" s="4" t="s">
        <v>17</v>
      </c>
      <c r="H96" s="4">
        <v>139</v>
      </c>
      <c r="I96" s="5" t="s">
        <v>17</v>
      </c>
      <c r="J96" s="5" t="s">
        <v>17</v>
      </c>
      <c r="K96" s="5" t="s">
        <v>17</v>
      </c>
      <c r="L96" s="5" t="s">
        <v>17</v>
      </c>
      <c r="M96" s="5">
        <v>84</v>
      </c>
      <c r="N96" s="6">
        <f t="shared" si="1"/>
        <v>0.60431654676258995</v>
      </c>
    </row>
    <row r="97" spans="1:14" x14ac:dyDescent="0.2">
      <c r="A97" s="4" t="s">
        <v>137</v>
      </c>
      <c r="B97" s="4" t="s">
        <v>24</v>
      </c>
      <c r="C97" s="4" t="s">
        <v>22</v>
      </c>
      <c r="D97" s="4">
        <v>196</v>
      </c>
      <c r="E97" s="4">
        <v>0</v>
      </c>
      <c r="F97" s="4">
        <v>304</v>
      </c>
      <c r="G97" s="4">
        <v>0</v>
      </c>
      <c r="H97" s="4">
        <v>500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6">
        <f t="shared" si="1"/>
        <v>0</v>
      </c>
    </row>
    <row r="98" spans="1:14" x14ac:dyDescent="0.2">
      <c r="A98" s="4" t="s">
        <v>138</v>
      </c>
      <c r="B98" s="4" t="s">
        <v>24</v>
      </c>
      <c r="C98" s="4" t="s">
        <v>22</v>
      </c>
      <c r="D98" s="4">
        <v>1957</v>
      </c>
      <c r="E98" s="4">
        <v>0</v>
      </c>
      <c r="F98" s="4">
        <v>3043</v>
      </c>
      <c r="G98" s="4">
        <v>0</v>
      </c>
      <c r="H98" s="4">
        <v>5000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6">
        <f t="shared" si="1"/>
        <v>0</v>
      </c>
    </row>
    <row r="99" spans="1:14" x14ac:dyDescent="0.2">
      <c r="A99" s="4" t="s">
        <v>139</v>
      </c>
      <c r="B99" s="4" t="s">
        <v>24</v>
      </c>
      <c r="C99" s="4" t="s">
        <v>22</v>
      </c>
      <c r="D99" s="4">
        <v>1143</v>
      </c>
      <c r="E99" s="4">
        <v>0</v>
      </c>
      <c r="F99" s="4">
        <v>1777</v>
      </c>
      <c r="G99" s="4">
        <v>0</v>
      </c>
      <c r="H99" s="4">
        <v>2920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6">
        <f t="shared" si="1"/>
        <v>0</v>
      </c>
    </row>
    <row r="100" spans="1:14" x14ac:dyDescent="0.2">
      <c r="A100" s="4" t="s">
        <v>140</v>
      </c>
      <c r="B100" s="4" t="s">
        <v>35</v>
      </c>
      <c r="C100" s="4" t="s">
        <v>22</v>
      </c>
      <c r="D100" s="4">
        <v>710</v>
      </c>
      <c r="E100" s="4">
        <v>902</v>
      </c>
      <c r="F100" s="4">
        <v>14</v>
      </c>
      <c r="G100" s="4">
        <v>0</v>
      </c>
      <c r="H100" s="4">
        <v>1626</v>
      </c>
      <c r="I100" s="5">
        <v>575</v>
      </c>
      <c r="J100" s="5">
        <v>794</v>
      </c>
      <c r="K100" s="5">
        <v>14</v>
      </c>
      <c r="L100" s="5">
        <v>0</v>
      </c>
      <c r="M100" s="5">
        <v>1383</v>
      </c>
      <c r="N100" s="6">
        <f t="shared" si="1"/>
        <v>0.85055350553505538</v>
      </c>
    </row>
    <row r="101" spans="1:14" x14ac:dyDescent="0.2">
      <c r="A101" s="4" t="s">
        <v>141</v>
      </c>
      <c r="B101" s="4" t="s">
        <v>84</v>
      </c>
      <c r="C101" s="4" t="s">
        <v>64</v>
      </c>
      <c r="D101" s="4" t="s">
        <v>17</v>
      </c>
      <c r="E101" s="4" t="s">
        <v>17</v>
      </c>
      <c r="F101" s="4" t="s">
        <v>17</v>
      </c>
      <c r="G101" s="4" t="s">
        <v>17</v>
      </c>
      <c r="H101" s="4">
        <v>80</v>
      </c>
      <c r="I101" s="5" t="s">
        <v>17</v>
      </c>
      <c r="J101" s="5" t="s">
        <v>17</v>
      </c>
      <c r="K101" s="5" t="s">
        <v>17</v>
      </c>
      <c r="L101" s="5" t="s">
        <v>17</v>
      </c>
      <c r="M101" s="5">
        <v>0</v>
      </c>
      <c r="N101" s="6">
        <f t="shared" si="1"/>
        <v>0</v>
      </c>
    </row>
    <row r="102" spans="1:14" x14ac:dyDescent="0.2">
      <c r="A102" s="4" t="s">
        <v>142</v>
      </c>
      <c r="B102" s="4" t="s">
        <v>24</v>
      </c>
      <c r="C102" s="4" t="s">
        <v>64</v>
      </c>
      <c r="D102" s="4" t="s">
        <v>17</v>
      </c>
      <c r="E102" s="4" t="s">
        <v>17</v>
      </c>
      <c r="F102" s="4" t="s">
        <v>17</v>
      </c>
      <c r="G102" s="4" t="s">
        <v>17</v>
      </c>
      <c r="H102" s="4">
        <v>80</v>
      </c>
      <c r="I102" s="5" t="s">
        <v>17</v>
      </c>
      <c r="J102" s="5" t="s">
        <v>17</v>
      </c>
      <c r="K102" s="5" t="s">
        <v>17</v>
      </c>
      <c r="L102" s="5" t="s">
        <v>17</v>
      </c>
      <c r="M102" s="5">
        <v>0</v>
      </c>
      <c r="N102" s="6">
        <f t="shared" si="1"/>
        <v>0</v>
      </c>
    </row>
    <row r="103" spans="1:14" x14ac:dyDescent="0.2">
      <c r="A103" s="4" t="s">
        <v>143</v>
      </c>
      <c r="B103" s="4" t="s">
        <v>29</v>
      </c>
      <c r="C103" s="4" t="s">
        <v>106</v>
      </c>
      <c r="D103" s="4" t="s">
        <v>17</v>
      </c>
      <c r="E103" s="4" t="s">
        <v>17</v>
      </c>
      <c r="F103" s="4" t="s">
        <v>17</v>
      </c>
      <c r="G103" s="4" t="s">
        <v>17</v>
      </c>
      <c r="H103" s="4">
        <v>40</v>
      </c>
      <c r="I103" s="5" t="s">
        <v>17</v>
      </c>
      <c r="J103" s="5" t="s">
        <v>17</v>
      </c>
      <c r="K103" s="5" t="s">
        <v>17</v>
      </c>
      <c r="L103" s="5" t="s">
        <v>17</v>
      </c>
      <c r="M103" s="5">
        <v>0</v>
      </c>
      <c r="N103" s="6">
        <f t="shared" si="1"/>
        <v>0</v>
      </c>
    </row>
    <row r="104" spans="1:14" x14ac:dyDescent="0.2">
      <c r="A104" s="4" t="s">
        <v>144</v>
      </c>
      <c r="B104" s="4" t="s">
        <v>29</v>
      </c>
      <c r="C104" s="4" t="s">
        <v>22</v>
      </c>
      <c r="D104" s="4">
        <v>4801</v>
      </c>
      <c r="E104" s="4">
        <v>3105</v>
      </c>
      <c r="F104" s="4">
        <v>4425</v>
      </c>
      <c r="G104" s="4">
        <v>3935</v>
      </c>
      <c r="H104" s="4">
        <v>16266</v>
      </c>
      <c r="I104" s="5">
        <v>2184</v>
      </c>
      <c r="J104" s="5">
        <v>1363</v>
      </c>
      <c r="K104" s="5">
        <v>2571</v>
      </c>
      <c r="L104" s="5">
        <v>1574</v>
      </c>
      <c r="M104" s="5">
        <v>7692</v>
      </c>
      <c r="N104" s="6">
        <f t="shared" si="1"/>
        <v>0.47288823312430839</v>
      </c>
    </row>
    <row r="105" spans="1:14" x14ac:dyDescent="0.2">
      <c r="A105" s="4" t="s">
        <v>145</v>
      </c>
      <c r="B105" s="4" t="s">
        <v>35</v>
      </c>
      <c r="C105" s="4" t="s">
        <v>22</v>
      </c>
      <c r="D105" s="4">
        <v>15675</v>
      </c>
      <c r="E105" s="4">
        <v>13574</v>
      </c>
      <c r="F105" s="4">
        <v>19834</v>
      </c>
      <c r="G105" s="4">
        <v>18967</v>
      </c>
      <c r="H105" s="4">
        <v>68050</v>
      </c>
      <c r="I105" s="5">
        <v>5463</v>
      </c>
      <c r="J105" s="5">
        <v>3680</v>
      </c>
      <c r="K105" s="5">
        <v>6041</v>
      </c>
      <c r="L105" s="5">
        <v>5397</v>
      </c>
      <c r="M105" s="5">
        <v>20581</v>
      </c>
      <c r="N105" s="6">
        <f t="shared" si="1"/>
        <v>0.30243938280675975</v>
      </c>
    </row>
    <row r="106" spans="1:14" x14ac:dyDescent="0.2">
      <c r="A106" s="4" t="s">
        <v>146</v>
      </c>
      <c r="B106" s="4" t="s">
        <v>24</v>
      </c>
      <c r="C106" s="4" t="s">
        <v>22</v>
      </c>
      <c r="D106" s="4">
        <v>149</v>
      </c>
      <c r="E106" s="4">
        <v>135</v>
      </c>
      <c r="F106" s="4">
        <v>227</v>
      </c>
      <c r="G106" s="4">
        <v>199</v>
      </c>
      <c r="H106" s="4">
        <v>710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6">
        <f t="shared" si="1"/>
        <v>0</v>
      </c>
    </row>
    <row r="107" spans="1:14" x14ac:dyDescent="0.2">
      <c r="A107" s="4" t="s">
        <v>147</v>
      </c>
      <c r="B107" s="4" t="s">
        <v>35</v>
      </c>
      <c r="C107" s="4" t="s">
        <v>22</v>
      </c>
      <c r="D107" s="4">
        <v>177</v>
      </c>
      <c r="E107" s="4">
        <v>150</v>
      </c>
      <c r="F107" s="4">
        <v>0</v>
      </c>
      <c r="G107" s="4">
        <v>0</v>
      </c>
      <c r="H107" s="4">
        <v>327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6">
        <f t="shared" si="1"/>
        <v>0</v>
      </c>
    </row>
    <row r="108" spans="1:14" x14ac:dyDescent="0.2">
      <c r="A108" s="4" t="s">
        <v>148</v>
      </c>
      <c r="B108" s="4" t="s">
        <v>35</v>
      </c>
      <c r="C108" s="4" t="s">
        <v>22</v>
      </c>
      <c r="D108" s="4">
        <v>10</v>
      </c>
      <c r="E108" s="4">
        <v>30</v>
      </c>
      <c r="F108" s="4">
        <v>0</v>
      </c>
      <c r="G108" s="4">
        <v>0</v>
      </c>
      <c r="H108" s="4">
        <v>40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6">
        <f t="shared" si="1"/>
        <v>0</v>
      </c>
    </row>
    <row r="109" spans="1:14" x14ac:dyDescent="0.2">
      <c r="A109" s="4" t="s">
        <v>149</v>
      </c>
      <c r="B109" s="4" t="s">
        <v>35</v>
      </c>
      <c r="C109" s="4" t="s">
        <v>64</v>
      </c>
      <c r="D109" s="4" t="s">
        <v>17</v>
      </c>
      <c r="E109" s="4" t="s">
        <v>17</v>
      </c>
      <c r="F109" s="4" t="s">
        <v>17</v>
      </c>
      <c r="G109" s="4" t="s">
        <v>17</v>
      </c>
      <c r="H109" s="4">
        <v>80</v>
      </c>
      <c r="I109" s="5" t="s">
        <v>17</v>
      </c>
      <c r="J109" s="5" t="s">
        <v>17</v>
      </c>
      <c r="K109" s="5" t="s">
        <v>17</v>
      </c>
      <c r="L109" s="5" t="s">
        <v>17</v>
      </c>
      <c r="M109" s="5">
        <v>28</v>
      </c>
      <c r="N109" s="6">
        <f t="shared" si="1"/>
        <v>0.35</v>
      </c>
    </row>
    <row r="110" spans="1:14" x14ac:dyDescent="0.2">
      <c r="A110" s="4" t="s">
        <v>150</v>
      </c>
      <c r="B110" s="4" t="s">
        <v>35</v>
      </c>
      <c r="C110" s="4" t="s">
        <v>64</v>
      </c>
      <c r="D110" s="4" t="s">
        <v>17</v>
      </c>
      <c r="E110" s="4" t="s">
        <v>17</v>
      </c>
      <c r="F110" s="4" t="s">
        <v>17</v>
      </c>
      <c r="G110" s="4" t="s">
        <v>17</v>
      </c>
      <c r="H110" s="4">
        <v>80</v>
      </c>
      <c r="I110" s="5" t="s">
        <v>17</v>
      </c>
      <c r="J110" s="5" t="s">
        <v>17</v>
      </c>
      <c r="K110" s="5" t="s">
        <v>17</v>
      </c>
      <c r="L110" s="5" t="s">
        <v>17</v>
      </c>
      <c r="M110" s="5">
        <v>43.5</v>
      </c>
      <c r="N110" s="6">
        <f t="shared" si="1"/>
        <v>0.54374999999999996</v>
      </c>
    </row>
    <row r="111" spans="1:14" x14ac:dyDescent="0.2">
      <c r="A111" s="4" t="s">
        <v>151</v>
      </c>
      <c r="B111" s="4" t="s">
        <v>84</v>
      </c>
      <c r="C111" s="4" t="s">
        <v>32</v>
      </c>
      <c r="D111" s="4" t="s">
        <v>17</v>
      </c>
      <c r="E111" s="4" t="s">
        <v>17</v>
      </c>
      <c r="F111" s="4" t="s">
        <v>17</v>
      </c>
      <c r="G111" s="4" t="s">
        <v>17</v>
      </c>
      <c r="H111" s="4">
        <v>6</v>
      </c>
      <c r="I111" s="5" t="s">
        <v>17</v>
      </c>
      <c r="J111" s="5" t="s">
        <v>17</v>
      </c>
      <c r="K111" s="5" t="s">
        <v>17</v>
      </c>
      <c r="L111" s="5" t="s">
        <v>17</v>
      </c>
      <c r="M111" s="5">
        <v>0</v>
      </c>
      <c r="N111" s="6">
        <f t="shared" si="1"/>
        <v>0</v>
      </c>
    </row>
    <row r="112" spans="1:14" x14ac:dyDescent="0.2">
      <c r="A112" s="4" t="s">
        <v>152</v>
      </c>
      <c r="B112" s="4" t="s">
        <v>153</v>
      </c>
      <c r="C112" s="4" t="s">
        <v>22</v>
      </c>
      <c r="D112" s="4">
        <v>8646</v>
      </c>
      <c r="E112" s="4">
        <v>6688</v>
      </c>
      <c r="F112" s="4">
        <v>7339</v>
      </c>
      <c r="G112" s="4">
        <v>5564</v>
      </c>
      <c r="H112" s="4">
        <v>28237</v>
      </c>
      <c r="I112" s="5">
        <v>5487</v>
      </c>
      <c r="J112" s="5">
        <v>5566</v>
      </c>
      <c r="K112" s="5">
        <v>6199</v>
      </c>
      <c r="L112" s="5">
        <v>5330</v>
      </c>
      <c r="M112" s="5">
        <v>22582</v>
      </c>
      <c r="N112" s="6">
        <f t="shared" si="1"/>
        <v>0.79973084959450369</v>
      </c>
    </row>
    <row r="113" spans="1:14" x14ac:dyDescent="0.2">
      <c r="A113" s="4" t="s">
        <v>154</v>
      </c>
      <c r="B113" s="4" t="s">
        <v>35</v>
      </c>
      <c r="C113" s="4" t="s">
        <v>22</v>
      </c>
      <c r="D113" s="4">
        <v>53990</v>
      </c>
      <c r="E113" s="4">
        <v>39430</v>
      </c>
      <c r="F113" s="4">
        <v>58114</v>
      </c>
      <c r="G113" s="4">
        <v>49124</v>
      </c>
      <c r="H113" s="4">
        <v>200658</v>
      </c>
      <c r="I113" s="5">
        <v>49554</v>
      </c>
      <c r="J113" s="5">
        <v>32592</v>
      </c>
      <c r="K113" s="5">
        <v>41860</v>
      </c>
      <c r="L113" s="5">
        <v>34919</v>
      </c>
      <c r="M113" s="5">
        <v>158925</v>
      </c>
      <c r="N113" s="6">
        <f t="shared" si="1"/>
        <v>0.79201925664563588</v>
      </c>
    </row>
    <row r="114" spans="1:14" x14ac:dyDescent="0.2">
      <c r="A114" s="4" t="s">
        <v>155</v>
      </c>
      <c r="B114" s="4" t="s">
        <v>29</v>
      </c>
      <c r="C114" s="4" t="s">
        <v>22</v>
      </c>
      <c r="D114" s="4">
        <v>13729</v>
      </c>
      <c r="E114" s="4">
        <v>12203</v>
      </c>
      <c r="F114" s="4">
        <v>11782</v>
      </c>
      <c r="G114" s="4">
        <v>10208</v>
      </c>
      <c r="H114" s="4">
        <v>47922</v>
      </c>
      <c r="I114" s="5">
        <v>7337</v>
      </c>
      <c r="J114" s="5">
        <v>7248</v>
      </c>
      <c r="K114" s="5">
        <v>9180</v>
      </c>
      <c r="L114" s="5">
        <v>8397</v>
      </c>
      <c r="M114" s="5">
        <v>32162</v>
      </c>
      <c r="N114" s="6">
        <f t="shared" si="1"/>
        <v>0.67113225658361508</v>
      </c>
    </row>
    <row r="115" spans="1:14" x14ac:dyDescent="0.2">
      <c r="A115" s="4" t="s">
        <v>156</v>
      </c>
      <c r="B115" s="4" t="s">
        <v>35</v>
      </c>
      <c r="C115" s="4" t="s">
        <v>64</v>
      </c>
      <c r="D115" s="4" t="s">
        <v>17</v>
      </c>
      <c r="E115" s="4" t="s">
        <v>17</v>
      </c>
      <c r="F115" s="4" t="s">
        <v>17</v>
      </c>
      <c r="G115" s="4" t="s">
        <v>17</v>
      </c>
      <c r="H115" s="4">
        <v>86.6666666666666</v>
      </c>
      <c r="I115" s="5" t="s">
        <v>17</v>
      </c>
      <c r="J115" s="5" t="s">
        <v>17</v>
      </c>
      <c r="K115" s="5" t="s">
        <v>17</v>
      </c>
      <c r="L115" s="5" t="s">
        <v>17</v>
      </c>
      <c r="M115" s="5">
        <v>89</v>
      </c>
      <c r="N115" s="6">
        <f t="shared" si="1"/>
        <v>1.0269230769230777</v>
      </c>
    </row>
    <row r="116" spans="1:14" x14ac:dyDescent="0.2">
      <c r="A116" s="4" t="s">
        <v>157</v>
      </c>
      <c r="B116" s="4" t="s">
        <v>21</v>
      </c>
      <c r="C116" s="4" t="s">
        <v>64</v>
      </c>
      <c r="D116" s="4" t="s">
        <v>17</v>
      </c>
      <c r="E116" s="4" t="s">
        <v>17</v>
      </c>
      <c r="F116" s="4" t="s">
        <v>17</v>
      </c>
      <c r="G116" s="4" t="s">
        <v>17</v>
      </c>
      <c r="H116" s="4">
        <v>95</v>
      </c>
      <c r="I116" s="5" t="s">
        <v>17</v>
      </c>
      <c r="J116" s="5" t="s">
        <v>17</v>
      </c>
      <c r="K116" s="5" t="s">
        <v>17</v>
      </c>
      <c r="L116" s="5" t="s">
        <v>17</v>
      </c>
      <c r="M116" s="5">
        <v>80</v>
      </c>
      <c r="N116" s="6">
        <f t="shared" si="1"/>
        <v>0.84210526315789469</v>
      </c>
    </row>
    <row r="117" spans="1:14" x14ac:dyDescent="0.2">
      <c r="A117" s="4" t="s">
        <v>158</v>
      </c>
      <c r="B117" s="4" t="s">
        <v>35</v>
      </c>
      <c r="C117" s="4" t="s">
        <v>159</v>
      </c>
      <c r="D117" s="4" t="s">
        <v>17</v>
      </c>
      <c r="E117" s="4" t="s">
        <v>17</v>
      </c>
      <c r="F117" s="4" t="s">
        <v>17</v>
      </c>
      <c r="G117" s="4" t="s">
        <v>17</v>
      </c>
      <c r="H117" s="4">
        <v>7917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>
        <v>5315</v>
      </c>
      <c r="N117" s="6">
        <f t="shared" si="1"/>
        <v>0.67134015409877479</v>
      </c>
    </row>
    <row r="118" spans="1:14" x14ac:dyDescent="0.2">
      <c r="A118" s="4" t="s">
        <v>160</v>
      </c>
      <c r="B118" s="4" t="s">
        <v>35</v>
      </c>
      <c r="C118" s="4" t="s">
        <v>22</v>
      </c>
      <c r="D118" s="4">
        <v>16864</v>
      </c>
      <c r="E118" s="4">
        <v>15417</v>
      </c>
      <c r="F118" s="4">
        <v>19651</v>
      </c>
      <c r="G118" s="4">
        <v>18787</v>
      </c>
      <c r="H118" s="4">
        <v>70719</v>
      </c>
      <c r="I118" s="5">
        <v>17696</v>
      </c>
      <c r="J118" s="5">
        <v>15795</v>
      </c>
      <c r="K118" s="5">
        <v>14110</v>
      </c>
      <c r="L118" s="5">
        <v>14481</v>
      </c>
      <c r="M118" s="5">
        <v>62082</v>
      </c>
      <c r="N118" s="6">
        <f t="shared" si="1"/>
        <v>0.87786874814406313</v>
      </c>
    </row>
    <row r="119" spans="1:14" x14ac:dyDescent="0.2">
      <c r="A119" s="4" t="s">
        <v>161</v>
      </c>
      <c r="B119" s="4" t="s">
        <v>35</v>
      </c>
      <c r="C119" s="4" t="s">
        <v>22</v>
      </c>
      <c r="D119" s="4">
        <v>276</v>
      </c>
      <c r="E119" s="4">
        <v>252</v>
      </c>
      <c r="F119" s="4">
        <v>348</v>
      </c>
      <c r="G119" s="4">
        <v>324</v>
      </c>
      <c r="H119" s="4">
        <v>1200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f t="shared" si="1"/>
        <v>0</v>
      </c>
    </row>
    <row r="120" spans="1:14" x14ac:dyDescent="0.2">
      <c r="A120" s="4" t="s">
        <v>162</v>
      </c>
      <c r="B120" s="4" t="s">
        <v>21</v>
      </c>
      <c r="C120" s="4" t="s">
        <v>64</v>
      </c>
      <c r="D120" s="4" t="s">
        <v>17</v>
      </c>
      <c r="E120" s="4" t="s">
        <v>17</v>
      </c>
      <c r="F120" s="4" t="s">
        <v>17</v>
      </c>
      <c r="G120" s="4" t="s">
        <v>17</v>
      </c>
      <c r="H120" s="4">
        <v>60</v>
      </c>
      <c r="I120" s="5" t="s">
        <v>17</v>
      </c>
      <c r="J120" s="5" t="s">
        <v>17</v>
      </c>
      <c r="K120" s="5" t="s">
        <v>17</v>
      </c>
      <c r="L120" s="5" t="s">
        <v>17</v>
      </c>
      <c r="M120" s="5">
        <v>80</v>
      </c>
      <c r="N120" s="6">
        <f t="shared" si="1"/>
        <v>1.3333333333333333</v>
      </c>
    </row>
    <row r="121" spans="1:14" x14ac:dyDescent="0.2">
      <c r="A121" s="4" t="s">
        <v>163</v>
      </c>
      <c r="B121" s="4" t="s">
        <v>153</v>
      </c>
      <c r="C121" s="4" t="s">
        <v>81</v>
      </c>
      <c r="D121" s="4" t="s">
        <v>17</v>
      </c>
      <c r="E121" s="4" t="s">
        <v>17</v>
      </c>
      <c r="F121" s="4" t="s">
        <v>17</v>
      </c>
      <c r="G121" s="4" t="s">
        <v>17</v>
      </c>
      <c r="H121" s="4">
        <v>400</v>
      </c>
      <c r="I121" s="5" t="s">
        <v>17</v>
      </c>
      <c r="J121" s="5" t="s">
        <v>17</v>
      </c>
      <c r="K121" s="5" t="s">
        <v>17</v>
      </c>
      <c r="L121" s="5" t="s">
        <v>17</v>
      </c>
      <c r="M121" s="5">
        <v>2486</v>
      </c>
      <c r="N121" s="6">
        <f t="shared" si="1"/>
        <v>6.2149999999999999</v>
      </c>
    </row>
    <row r="122" spans="1:14" x14ac:dyDescent="0.2">
      <c r="A122" s="4" t="s">
        <v>164</v>
      </c>
      <c r="B122" s="4" t="s">
        <v>153</v>
      </c>
      <c r="C122" s="4" t="s">
        <v>165</v>
      </c>
      <c r="D122" s="4" t="s">
        <v>17</v>
      </c>
      <c r="E122" s="4" t="s">
        <v>17</v>
      </c>
      <c r="F122" s="4" t="s">
        <v>17</v>
      </c>
      <c r="G122" s="4" t="s">
        <v>17</v>
      </c>
      <c r="H122" s="4">
        <v>103</v>
      </c>
      <c r="I122" s="5" t="s">
        <v>17</v>
      </c>
      <c r="J122" s="5" t="s">
        <v>17</v>
      </c>
      <c r="K122" s="5" t="s">
        <v>17</v>
      </c>
      <c r="L122" s="5" t="s">
        <v>17</v>
      </c>
      <c r="M122" s="5">
        <v>48</v>
      </c>
      <c r="N122" s="6">
        <f t="shared" si="1"/>
        <v>0.46601941747572817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Mirghani Elizara Cherewa</dc:creator>
  <cp:lastModifiedBy>Free Mirghani Elizara Cherewa</cp:lastModifiedBy>
  <dcterms:created xsi:type="dcterms:W3CDTF">2026-09-10T10:26:26Z</dcterms:created>
  <dcterms:modified xsi:type="dcterms:W3CDTF">2026-09-10T10:28:46Z</dcterms:modified>
</cp:coreProperties>
</file>